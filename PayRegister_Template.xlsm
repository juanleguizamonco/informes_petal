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ople.ey.com/personal/juan_leguizamon_co_ey_com/Documents/Documents/Pruebas_MSFT/Intocables/"/>
    </mc:Choice>
  </mc:AlternateContent>
  <xr:revisionPtr revIDLastSave="0" documentId="8_{BF28A5BD-1FB2-41E7-AD84-7A4B1140AC2A}" xr6:coauthVersionLast="47" xr6:coauthVersionMax="47" xr10:uidLastSave="{00000000-0000-0000-0000-000000000000}"/>
  <bookViews>
    <workbookView xWindow="-110" yWindow="-110" windowWidth="19420" windowHeight="11500" firstSheet="1" activeTab="3" xr2:uid="{00000000-000D-0000-FFFF-FFFF00000000}"/>
  </bookViews>
  <sheets>
    <sheet name="Input" sheetId="1" state="hidden" r:id="rId1"/>
    <sheet name="PayRegister" sheetId="2" r:id="rId2"/>
    <sheet name="GroosToNet" sheetId="3" r:id="rId3"/>
    <sheet name="YTDRegister" sheetId="11" r:id="rId4"/>
    <sheet name="Accumulated" sheetId="10" r:id="rId5"/>
    <sheet name="Warnings" sheetId="9" r:id="rId6"/>
    <sheet name="Catalogs" sheetId="4" r:id="rId7"/>
  </sheets>
  <definedNames>
    <definedName name="_xlnm._FilterDatabase" localSheetId="4" hidden="1">Accumulated!$B$5:$AC$5</definedName>
    <definedName name="_xlnm._FilterDatabase" localSheetId="6" hidden="1">Catalogs!$B$3:$O$222</definedName>
    <definedName name="_xlnm._FilterDatabase" localSheetId="2" hidden="1">GroosToNet!$B$5:$K$5</definedName>
    <definedName name="_xlnm._FilterDatabase" localSheetId="1" hidden="1">PayRegister!$B$5:$AP$5</definedName>
    <definedName name="_xlnm._FilterDatabase" localSheetId="5" hidden="1">Warnings!$B$5:$J$5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0" l="1"/>
  <c r="G1" i="10"/>
  <c r="F4" i="11"/>
  <c r="F4" i="2"/>
  <c r="F4" i="3"/>
  <c r="F4" i="9"/>
  <c r="G1" i="9"/>
  <c r="G1" i="3"/>
  <c r="G1" i="11"/>
  <c r="G1" i="2"/>
  <c r="H4" i="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<sst xmlns="http://schemas.openxmlformats.org/spreadsheetml/2006/main" count="81" uniqueCount="44">
  <si>
    <t>Numero de periodo</t>
  </si>
  <si>
    <t>Sequence</t>
  </si>
  <si>
    <t>Client code</t>
  </si>
  <si>
    <t>Client Descripcion</t>
  </si>
  <si>
    <t>Encabezado</t>
  </si>
  <si>
    <t>Uso</t>
  </si>
  <si>
    <t>158 / Entidad Legal</t>
  </si>
  <si>
    <t>159 / Tipo de empleado</t>
  </si>
  <si>
    <t>156 / Número de Empleado</t>
  </si>
  <si>
    <t>Type</t>
  </si>
  <si>
    <t>Income</t>
  </si>
  <si>
    <t>Deduction</t>
  </si>
  <si>
    <t>Informative</t>
  </si>
  <si>
    <t>Date:</t>
  </si>
  <si>
    <t>[CONFIDENTIAL]</t>
  </si>
  <si>
    <t>Pay Register</t>
  </si>
  <si>
    <t>Payroll Period</t>
  </si>
  <si>
    <t>Entity</t>
  </si>
  <si>
    <t>Pay group</t>
  </si>
  <si>
    <t>Work Agreement</t>
  </si>
  <si>
    <t>EE ID</t>
  </si>
  <si>
    <t>Employee Name</t>
  </si>
  <si>
    <t>Warnings</t>
  </si>
  <si>
    <t>Grand Total</t>
  </si>
  <si>
    <t>Client ID</t>
  </si>
  <si>
    <t>Client Description</t>
  </si>
  <si>
    <t>Ammount</t>
  </si>
  <si>
    <t>Gross To Net Summary</t>
  </si>
  <si>
    <t>(blank)</t>
  </si>
  <si>
    <t>(All)</t>
  </si>
  <si>
    <t>Sum of Ammount</t>
  </si>
  <si>
    <t>Year</t>
  </si>
  <si>
    <t>YTD Paycode</t>
  </si>
  <si>
    <t>GTN Type</t>
  </si>
  <si>
    <t>Client Code</t>
  </si>
  <si>
    <t>Register Type</t>
  </si>
  <si>
    <t>Demographic</t>
  </si>
  <si>
    <t>Petal Code</t>
  </si>
  <si>
    <t>Petal Desc</t>
  </si>
  <si>
    <t>Catalogo de conceptos</t>
  </si>
  <si>
    <t>Obseravaciones</t>
  </si>
  <si>
    <t>YTD Register</t>
  </si>
  <si>
    <t>Gross to Net per Employee</t>
  </si>
  <si>
    <t>Acumulated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</si>
</sst>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ee\-mm\-dd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Aptos SemiBold"/>
      <family val="2"/>
    </font>
    <font>
      <b/>
      <sz val="11"/>
      <color rgb="FFC0000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0"/>
      <color theme="0"/>
      <name val="EYInterstate Light"/>
    </font>
    <font>
      <sz val="11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6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6" fillId="0" borderId="0"/>
    <xf numFmtId="164" fontId="7" fillId="0" borderId="0" applyFont="0" applyFill="0" applyBorder="0" applyAlignment="0" applyProtection="0"/>
  </cellStyleXfs>
  <cellXfs count="50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top"/>
    </xf>
    <xf numFmtId="0" fontId="0" fillId="3" borderId="0" xfId="0" applyFill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4" borderId="0" xfId="0" applyFill="1"/>
    <xf numFmtId="0" fontId="0" fillId="4" borderId="0" xfId="0" applyFill="1" applyAlignment="1">
      <alignment vertical="center"/>
    </xf>
    <xf numFmtId="0" fontId="0" fillId="4" borderId="0" xfId="0" applyFill="1" applyProtection="1">
      <protection locked="0"/>
    </xf>
    <xf numFmtId="164" fontId="9" fillId="5" borderId="0" xfId="3" applyFont="1" applyFill="1" applyBorder="1" applyAlignment="1"/>
    <xf numFmtId="0" fontId="8" fillId="5" borderId="0" xfId="0" applyFont="1" applyFill="1" applyAlignment="1">
      <alignment horizontal="right" vertical="center"/>
    </xf>
    <xf numFmtId="165" fontId="8" fillId="5" borderId="0" xfId="0" applyNumberFormat="1" applyFont="1" applyFill="1" applyAlignment="1">
      <alignment vertical="center"/>
    </xf>
    <xf numFmtId="0" fontId="0" fillId="5" borderId="0" xfId="0" applyFill="1" applyAlignment="1">
      <alignment vertical="center"/>
    </xf>
    <xf numFmtId="164" fontId="10" fillId="5" borderId="0" xfId="3" applyFont="1" applyFill="1" applyAlignment="1">
      <alignment horizontal="left" vertical="center"/>
    </xf>
    <xf numFmtId="164" fontId="0" fillId="4" borderId="0" xfId="3" applyFont="1" applyFill="1"/>
    <xf numFmtId="0" fontId="8" fillId="6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vertical="center"/>
    </xf>
    <xf numFmtId="0" fontId="0" fillId="0" borderId="0" xfId="0" pivotButton="1"/>
    <xf numFmtId="164" fontId="11" fillId="5" borderId="0" xfId="3" applyFont="1" applyFill="1" applyAlignment="1">
      <alignment horizontal="left" vertical="center"/>
    </xf>
    <xf numFmtId="0" fontId="3" fillId="6" borderId="0" xfId="0" applyFont="1" applyFill="1"/>
    <xf numFmtId="164" fontId="0" fillId="0" borderId="0" xfId="0" applyNumberFormat="1"/>
    <xf numFmtId="164" fontId="9" fillId="5" borderId="0" xfId="3" applyFont="1" applyFill="1" applyAlignment="1">
      <alignment vertical="center"/>
    </xf>
    <xf numFmtId="164" fontId="8" fillId="6" borderId="0" xfId="3" applyFont="1" applyFill="1" applyAlignment="1">
      <alignment horizontal="center" vertical="center" wrapText="1"/>
    </xf>
    <xf numFmtId="164" fontId="0" fillId="0" borderId="0" xfId="3" applyFont="1"/>
    <xf numFmtId="0" fontId="0" fillId="5" borderId="0" xfId="0" applyFill="1"/>
    <xf numFmtId="0" fontId="12" fillId="4" borderId="0" xfId="0" applyFont="1" applyFill="1"/>
    <xf numFmtId="164" fontId="12" fillId="4" borderId="0" xfId="3" applyFont="1" applyFill="1" applyAlignment="1"/>
    <xf numFmtId="164" fontId="11" fillId="5" borderId="0" xfId="3" applyFont="1" applyFill="1" applyAlignment="1">
      <alignment vertical="center"/>
    </xf>
    <xf numFmtId="164" fontId="0" fillId="4" borderId="0" xfId="3" applyFont="1" applyFill="1" applyAlignment="1"/>
    <xf numFmtId="165" fontId="8" fillId="5" borderId="0" xfId="0" applyNumberFormat="1" applyFont="1" applyFill="1" applyAlignment="1">
      <alignment horizontal="left" vertical="center"/>
    </xf>
    <xf numFmtId="2" fontId="14" fillId="8" borderId="0" xfId="0" applyNumberFormat="1" applyFont="1" applyFill="1"/>
    <xf numFmtId="0" fontId="14" fillId="8" borderId="0" xfId="0" applyFont="1" applyFill="1"/>
    <xf numFmtId="0" fontId="0" fillId="0" borderId="0" xfId="2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15" fillId="7" borderId="5" xfId="0" applyFont="1" applyFill="1" applyBorder="1" applyAlignment="1">
      <alignment horizontal="center" vertical="center" wrapText="1"/>
    </xf>
    <xf numFmtId="0" fontId="0" fillId="0" borderId="4" xfId="0" applyBorder="1"/>
    <xf numFmtId="0" fontId="16" fillId="4" borderId="0" xfId="0" applyFont="1" applyFill="1" applyAlignment="1">
      <alignment vertical="center"/>
    </xf>
    <xf numFmtId="0" fontId="9" fillId="5" borderId="2" xfId="0" applyFont="1" applyFill="1" applyBorder="1" applyAlignment="1">
      <alignment vertical="center"/>
    </xf>
    <xf numFmtId="0" fontId="2" fillId="4" borderId="0" xfId="0" applyFont="1" applyFill="1" applyAlignment="1">
      <alignment horizontal="right" vertical="center"/>
    </xf>
    <xf numFmtId="165" fontId="2" fillId="4" borderId="0" xfId="0" applyNumberFormat="1" applyFont="1" applyFill="1" applyAlignment="1">
      <alignment horizontal="left" vertical="center"/>
    </xf>
    <xf numFmtId="0" fontId="12" fillId="4" borderId="0" xfId="3" applyNumberFormat="1" applyFont="1" applyFill="1" applyAlignment="1"/>
    <xf numFmtId="0" fontId="14" fillId="8" borderId="0" xfId="0" applyFont="1" applyFill="1" applyAlignment="1">
      <alignment horizontal="left"/>
    </xf>
    <xf numFmtId="0" fontId="15" fillId="7" borderId="5" xfId="0" applyFont="1" applyFill="1" applyBorder="1" applyAlignment="1">
      <alignment horizontal="left" vertical="center" wrapText="1"/>
    </xf>
    <xf numFmtId="0" fontId="13" fillId="2" borderId="0" xfId="0" applyFont="1" applyFill="1" applyAlignment="1">
      <alignment vertical="center"/>
    </xf>
    <xf numFmtId="164" fontId="0" fillId="4" borderId="0" xfId="3" applyFont="1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vertical="center" wrapText="1"/>
    </xf>
  </cellXfs>
  <cellStyles count="4">
    <cellStyle name="Currency" xfId="3" builtinId="4"/>
    <cellStyle name="Normal" xfId="0" builtinId="0"/>
    <cellStyle name="Normal 2" xfId="2" xr:uid="{E76CDDC1-35CC-47D9-A7E8-12FEAC0B697A}"/>
    <cellStyle name="Normal 24 2" xfId="1" xr:uid="{00000000-0005-0000-0000-000001000000}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numFmt numFmtId="16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font>
        <color auto="1"/>
      </font>
      <fill>
        <patternFill patternType="solid">
          <fgColor indexed="64"/>
          <bgColor rgb="FFFFE600"/>
        </patternFill>
      </fill>
    </dxf>
    <dxf>
      <fill>
        <patternFill patternType="solid">
          <bgColor rgb="FFFFE600"/>
        </patternFill>
      </fill>
    </dxf>
  </dxfs>
  <tableStyles count="0" defaultTableStyle="TableStyleMedium2" defaultPivotStyle="PivotStyleLight16"/>
  <colors>
    <mruColors>
      <color rgb="FF44546A"/>
      <color rgb="FF2E2E38"/>
      <color rgb="FFFF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0</xdr:colOff>
      <xdr:row>4</xdr:row>
      <xdr:rowOff>300300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DDED68-6511-4941-B774-B20FA1D5D4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7856220" y="0"/>
          <a:ext cx="0" cy="1214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11</xdr:col>
      <xdr:colOff>0</xdr:colOff>
      <xdr:row>7</xdr:row>
      <xdr:rowOff>86940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A39ED0-A87D-4B43-A8C7-AA196F5A47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7200900" y="0"/>
          <a:ext cx="0" cy="1748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0</xdr:colOff>
      <xdr:row>8</xdr:row>
      <xdr:rowOff>155520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35FE11-1E3A-4773-BCBA-A53BA07907F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5120640" y="0"/>
          <a:ext cx="0" cy="17481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0</xdr:colOff>
      <xdr:row>4</xdr:row>
      <xdr:rowOff>353640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FAE7B0-0DE4-4E1D-8723-4783B8A5E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5265420" y="0"/>
          <a:ext cx="0" cy="17481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0</xdr:colOff>
      <xdr:row>5</xdr:row>
      <xdr:rowOff>170760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8232A-748D-420B-854F-AC3F64829D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359" t="9101" r="1746" b="3724"/>
        <a:stretch/>
      </xdr:blipFill>
      <xdr:spPr>
        <a:xfrm>
          <a:off x="7200900" y="0"/>
          <a:ext cx="0" cy="17481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agan Vazquez Hermosillo" refreshedDate="45537.622891666666" createdVersion="8" refreshedVersion="8" minRefreshableVersion="3" recordCount="16" xr:uid="{5487BBEB-229D-4A0E-997F-0DB13D8EF0F9}">
  <cacheSource type="worksheet">
    <worksheetSource ref="B5:K1048576" sheet="GroosToNet"/>
  </cacheSource>
  <cacheFields count="10">
    <cacheField name="Payroll Period" numFmtId="0">
      <sharedItems containsNonDate="0" containsString="0" containsBlank="1" count="1">
        <m/>
      </sharedItems>
    </cacheField>
    <cacheField name="Entity" numFmtId="0">
      <sharedItems containsString="0" containsBlank="1" containsNumber="1" containsInteger="1" minValue="1" maxValue="1" count="2">
        <n v="1"/>
        <m/>
      </sharedItems>
    </cacheField>
    <cacheField name="Pay group" numFmtId="0">
      <sharedItems containsNonDate="0" containsString="0" containsBlank="1"/>
    </cacheField>
    <cacheField name="Work Agreement" numFmtId="0">
      <sharedItems containsNonDate="0" containsString="0" containsBlank="1"/>
    </cacheField>
    <cacheField name="EE ID" numFmtId="0">
      <sharedItems containsString="0" containsBlank="1" containsNumber="1" containsInteger="1" minValue="1" maxValue="3"/>
    </cacheField>
    <cacheField name="Employee Name" numFmtId="0">
      <sharedItems containsNonDate="0" containsString="0" containsBlank="1"/>
    </cacheField>
    <cacheField name="Client ID" numFmtId="0">
      <sharedItems containsNonDate="0" containsString="0" containsBlank="1" count="1">
        <m/>
      </sharedItems>
    </cacheField>
    <cacheField name="Client Description" numFmtId="0">
      <sharedItems containsBlank="1" count="5">
        <s v="158 / Entidad Legal"/>
        <s v="159 / Tipo de empleado"/>
        <s v="Numero de periodo"/>
        <s v="156 / Número de Empleado"/>
        <m/>
      </sharedItems>
    </cacheField>
    <cacheField name="Type" numFmtId="0">
      <sharedItems containsBlank="1" count="4">
        <s v="Income"/>
        <s v="Deduction"/>
        <s v="Informative"/>
        <m/>
      </sharedItems>
    </cacheField>
    <cacheField name="Ammount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m/>
    <m/>
    <n v="1"/>
    <m/>
    <x v="0"/>
    <x v="0"/>
    <x v="0"/>
    <n v="100"/>
  </r>
  <r>
    <x v="0"/>
    <x v="0"/>
    <m/>
    <m/>
    <n v="1"/>
    <m/>
    <x v="0"/>
    <x v="1"/>
    <x v="0"/>
    <n v="100"/>
  </r>
  <r>
    <x v="0"/>
    <x v="0"/>
    <m/>
    <m/>
    <n v="1"/>
    <m/>
    <x v="0"/>
    <x v="2"/>
    <x v="1"/>
    <n v="100"/>
  </r>
  <r>
    <x v="0"/>
    <x v="0"/>
    <m/>
    <m/>
    <n v="1"/>
    <m/>
    <x v="0"/>
    <x v="3"/>
    <x v="2"/>
    <n v="100"/>
  </r>
  <r>
    <x v="0"/>
    <x v="0"/>
    <m/>
    <m/>
    <n v="2"/>
    <m/>
    <x v="0"/>
    <x v="0"/>
    <x v="0"/>
    <n v="100"/>
  </r>
  <r>
    <x v="0"/>
    <x v="0"/>
    <m/>
    <m/>
    <n v="2"/>
    <m/>
    <x v="0"/>
    <x v="1"/>
    <x v="0"/>
    <n v="100"/>
  </r>
  <r>
    <x v="0"/>
    <x v="0"/>
    <m/>
    <m/>
    <n v="2"/>
    <m/>
    <x v="0"/>
    <x v="2"/>
    <x v="1"/>
    <n v="100"/>
  </r>
  <r>
    <x v="0"/>
    <x v="0"/>
    <m/>
    <m/>
    <n v="2"/>
    <m/>
    <x v="0"/>
    <x v="3"/>
    <x v="2"/>
    <n v="100"/>
  </r>
  <r>
    <x v="0"/>
    <x v="0"/>
    <m/>
    <m/>
    <n v="3"/>
    <m/>
    <x v="0"/>
    <x v="0"/>
    <x v="0"/>
    <n v="100"/>
  </r>
  <r>
    <x v="0"/>
    <x v="0"/>
    <m/>
    <m/>
    <n v="3"/>
    <m/>
    <x v="0"/>
    <x v="1"/>
    <x v="0"/>
    <n v="100"/>
  </r>
  <r>
    <x v="0"/>
    <x v="0"/>
    <m/>
    <m/>
    <n v="3"/>
    <m/>
    <x v="0"/>
    <x v="2"/>
    <x v="1"/>
    <n v="100"/>
  </r>
  <r>
    <x v="0"/>
    <x v="0"/>
    <m/>
    <m/>
    <n v="3"/>
    <m/>
    <x v="0"/>
    <x v="3"/>
    <x v="2"/>
    <n v="100"/>
  </r>
  <r>
    <x v="0"/>
    <x v="1"/>
    <m/>
    <m/>
    <m/>
    <m/>
    <x v="0"/>
    <x v="4"/>
    <x v="3"/>
    <m/>
  </r>
  <r>
    <x v="0"/>
    <x v="1"/>
    <m/>
    <m/>
    <m/>
    <m/>
    <x v="0"/>
    <x v="4"/>
    <x v="3"/>
    <m/>
  </r>
  <r>
    <x v="0"/>
    <x v="1"/>
    <m/>
    <m/>
    <m/>
    <m/>
    <x v="0"/>
    <x v="4"/>
    <x v="3"/>
    <m/>
  </r>
  <r>
    <x v="0"/>
    <x v="1"/>
    <m/>
    <m/>
    <m/>
    <m/>
    <x v="0"/>
    <x v="4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D021DB-132E-4FE8-8EAF-D2DDF1069A1A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N5:T12" firstHeaderRow="1" firstDataRow="2" firstDataCol="3" rowPageCount="1" colPageCount="1"/>
  <pivotFields count="10">
    <pivotField axis="axisPage" compact="0" outline="0" showAll="0" defaultSubtotal="0">
      <items count="1">
        <item x="0"/>
      </items>
    </pivotField>
    <pivotField axis="axisRow" compact="0" outline="0" showAll="0" defaultSubtotal="0">
      <items count="2">
        <item sd="0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5">
        <item x="3"/>
        <item x="0"/>
        <item x="1"/>
        <item x="2"/>
        <item x="4"/>
      </items>
    </pivotField>
    <pivotField axis="axisCol" compact="0" outline="0" showAll="0" defaultSubtotal="0">
      <items count="4">
        <item x="1"/>
        <item x="0"/>
        <item x="2"/>
        <item x="3"/>
      </items>
    </pivotField>
    <pivotField dataField="1" compact="0" outline="0" showAll="0" defaultSubtotal="0"/>
  </pivotFields>
  <rowFields count="3">
    <field x="1"/>
    <field x="6"/>
    <field x="7"/>
  </rowFields>
  <rowItems count="6">
    <i>
      <x/>
    </i>
    <i>
      <x v="1"/>
      <x/>
      <x/>
    </i>
    <i r="2">
      <x v="1"/>
    </i>
    <i r="2">
      <x v="2"/>
    </i>
    <i r="2">
      <x v="3"/>
    </i>
    <i t="grand">
      <x/>
    </i>
  </rowItems>
  <colFields count="1">
    <field x="8"/>
  </colFields>
  <colItems count="4">
    <i>
      <x/>
    </i>
    <i>
      <x v="1"/>
    </i>
    <i>
      <x v="2"/>
    </i>
    <i>
      <x v="3"/>
    </i>
  </colItems>
  <pageFields count="1">
    <pageField fld="0" hier="-1"/>
  </pageFields>
  <dataFields count="1">
    <dataField name="Sum of Ammount" fld="9" baseField="0" baseItem="0" numFmtId="164"/>
  </dataFields>
  <formats count="10">
    <format dxfId="39">
      <pivotArea dataOnly="0" labelOnly="1" outline="0" axis="axisValues" fieldPosition="0"/>
    </format>
    <format dxfId="38">
      <pivotArea dataOnly="0" labelOnly="1" fieldPosition="0">
        <references count="1">
          <reference field="8" count="3">
            <x v="0"/>
            <x v="1"/>
            <x v="2"/>
          </reference>
        </references>
      </pivotArea>
    </format>
    <format dxfId="37">
      <pivotArea dataOnly="0" labelOnly="1" grandCol="1" outline="0" fieldPosition="0"/>
    </format>
    <format dxfId="36">
      <pivotArea field="8" type="button" dataOnly="0" labelOnly="1" outline="0" axis="axisCol" fieldPosition="0"/>
    </format>
    <format dxfId="35">
      <pivotArea outline="0" collapsedLevelsAreSubtotals="1" fieldPosition="0"/>
    </format>
    <format dxfId="34">
      <pivotArea field="1" type="button" dataOnly="0" labelOnly="1" outline="0" axis="axisRow" fieldPosition="0"/>
    </format>
    <format dxfId="33">
      <pivotArea field="6" type="button" dataOnly="0" labelOnly="1" outline="0" axis="axisRow" fieldPosition="1"/>
    </format>
    <format dxfId="32">
      <pivotArea field="7" type="button" dataOnly="0" labelOnly="1" outline="0" axis="axisRow" fieldPosition="2"/>
    </format>
    <format dxfId="31">
      <pivotArea type="origin" dataOnly="0" labelOnly="1" outline="0" fieldPosition="0"/>
    </format>
    <format dxfId="30">
      <pivotArea dataOnly="0" labelOnly="1" outline="0" fieldPosition="0">
        <references count="1">
          <reference field="8" count="1">
            <x v="3"/>
          </reference>
        </references>
      </pivotArea>
    </format>
  </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00B050"/>
  </sheetPr>
  <dimension ref="A1:HO1"/>
  <sheetViews>
    <sheetView workbookViewId="0">
      <selection sqref="A1:F1048576"/>
    </sheetView>
  </sheetViews>
  <sheetFormatPr defaultColWidth="8.6328125" defaultRowHeight="14.5" x14ac:dyDescent="0.35"/>
  <sheetData>
    <row r="1" spans="1:223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3"/>
  </sheetPr>
  <dimension ref="A1:W5"/>
  <sheetViews>
    <sheetView workbookViewId="0">
      <selection activeCell="H5" sqref="H5"/>
    </sheetView>
  </sheetViews>
  <sheetFormatPr defaultColWidth="8.6328125" defaultRowHeight="14.5" x14ac:dyDescent="0.35"/>
  <cols>
    <col min="1" max="1" width="7.6328125" style="10" customWidth="1"/>
    <col min="2" max="2" width="11" customWidth="1"/>
    <col min="3" max="3" width="13.36328125" customWidth="1"/>
    <col min="5" max="5" width="10.6328125" customWidth="1"/>
    <col min="6" max="6" width="10.36328125" bestFit="1" customWidth="1"/>
    <col min="7" max="7" width="16.36328125" bestFit="1" customWidth="1"/>
    <col min="8" max="8" width="12.6328125" customWidth="1"/>
  </cols>
  <sheetData>
    <row r="1" spans="1:23" s="8" customFormat="1" ht="42" customHeight="1" x14ac:dyDescent="0.35">
      <c r="A1" s="47" t="e" vm="1">
        <v>#VALUE!</v>
      </c>
      <c r="B1" s="47"/>
      <c r="C1" s="39" t="s">
        <v>14</v>
      </c>
      <c r="E1" s="41"/>
      <c r="F1" s="41" t="s">
        <v>13</v>
      </c>
      <c r="G1" s="42">
        <f ca="1">TODAY()</f>
        <v>45750</v>
      </c>
    </row>
    <row r="2" spans="1:23" s="11" customFormat="1" ht="32.4" customHeight="1" thickBot="1" x14ac:dyDescent="0.6">
      <c r="A2" s="9"/>
      <c r="B2" s="40" t="s">
        <v>15</v>
      </c>
      <c r="C2" s="40"/>
      <c r="D2" s="40"/>
      <c r="E2" s="40"/>
      <c r="F2" s="40"/>
      <c r="G2" s="40"/>
      <c r="H2" s="18"/>
      <c r="I2" s="18"/>
      <c r="J2" s="18"/>
      <c r="K2" s="18"/>
      <c r="L2" s="18"/>
      <c r="M2" s="18"/>
      <c r="N2" s="18"/>
    </row>
    <row r="3" spans="1:23" s="29" customFormat="1" ht="21" customHeight="1" x14ac:dyDescent="0.35">
      <c r="A3" s="9"/>
      <c r="B3" s="12"/>
      <c r="C3" s="31"/>
      <c r="D3" s="14"/>
      <c r="E3" s="14"/>
      <c r="F3" s="14"/>
      <c r="G3" s="15"/>
      <c r="H3" s="29" t="s">
        <v>36</v>
      </c>
    </row>
    <row r="4" spans="1:23" s="27" customFormat="1" ht="18.649999999999999" customHeight="1" x14ac:dyDescent="0.35">
      <c r="F4" s="27">
        <f>SUBTOTAL(3,F6:F1048576)</f>
        <v>0</v>
      </c>
      <c r="H4" s="28">
        <f>SUBTOTAL(9,$H$6:$H$1000000)</f>
        <v>0</v>
      </c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</row>
    <row r="5" spans="1:23" s="1" customFormat="1" ht="54.65" customHeight="1" x14ac:dyDescent="0.35">
      <c r="A5" s="9"/>
      <c r="B5" s="17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</row>
  </sheetData>
  <autoFilter ref="B5:AP5" xr:uid="{00000000-0001-0000-0100-000000000000}"/>
  <mergeCells count="1">
    <mergeCell ref="A1:B1"/>
  </mergeCells>
  <pageMargins left="0.7" right="0.7" top="0.75" bottom="0.75" header="0.3" footer="0.3"/>
  <pageSetup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44546A"/>
  </sheetPr>
  <dimension ref="A1:AI12"/>
  <sheetViews>
    <sheetView workbookViewId="0">
      <selection activeCell="C6" sqref="C6"/>
    </sheetView>
  </sheetViews>
  <sheetFormatPr defaultColWidth="0" defaultRowHeight="14.5" x14ac:dyDescent="0.35"/>
  <cols>
    <col min="1" max="1" width="7.6328125" style="10" customWidth="1"/>
    <col min="2" max="2" width="8.90625" customWidth="1"/>
    <col min="3" max="3" width="13.453125" customWidth="1"/>
    <col min="4" max="4" width="8.90625" customWidth="1"/>
    <col min="5" max="5" width="12" customWidth="1"/>
    <col min="6" max="6" width="9.54296875" customWidth="1"/>
    <col min="7" max="7" width="12.453125" customWidth="1"/>
    <col min="8" max="8" width="8.90625" customWidth="1"/>
    <col min="9" max="9" width="27.6328125" bestFit="1" customWidth="1"/>
    <col min="10" max="10" width="13.36328125" bestFit="1" customWidth="1"/>
    <col min="11" max="11" width="16.36328125" style="25" bestFit="1" customWidth="1"/>
    <col min="12" max="12" width="7.6328125" style="10" customWidth="1"/>
    <col min="13" max="13" width="4.36328125" customWidth="1"/>
    <col min="14" max="14" width="29.6328125" bestFit="1" customWidth="1"/>
    <col min="15" max="15" width="15.54296875" bestFit="1" customWidth="1"/>
    <col min="16" max="16" width="23.6328125" bestFit="1" customWidth="1"/>
    <col min="17" max="17" width="9.6328125" bestFit="1" customWidth="1"/>
    <col min="18" max="18" width="8.90625" bestFit="1" customWidth="1"/>
    <col min="19" max="19" width="10.90625" bestFit="1" customWidth="1"/>
    <col min="20" max="20" width="7" bestFit="1" customWidth="1"/>
    <col min="21" max="21" width="8.90625" customWidth="1"/>
    <col min="22" max="22" width="16.36328125" bestFit="1" customWidth="1"/>
    <col min="23" max="23" width="7.6328125" style="10" customWidth="1"/>
    <col min="24" max="35" width="0" hidden="1" customWidth="1"/>
    <col min="36" max="16384" width="8.90625" hidden="1"/>
  </cols>
  <sheetData>
    <row r="1" spans="1:23" s="8" customFormat="1" ht="42" customHeight="1" x14ac:dyDescent="0.35">
      <c r="A1" s="47" t="e" vm="1">
        <v>#VALUE!</v>
      </c>
      <c r="B1" s="47"/>
      <c r="C1" s="39" t="s">
        <v>14</v>
      </c>
      <c r="E1" s="41"/>
      <c r="F1" s="41" t="s">
        <v>13</v>
      </c>
      <c r="G1" s="42">
        <f ca="1">TODAY()</f>
        <v>45750</v>
      </c>
      <c r="K1" s="30"/>
      <c r="L1" s="30"/>
      <c r="V1" s="47"/>
      <c r="W1" s="47"/>
    </row>
    <row r="2" spans="1:23" s="11" customFormat="1" ht="32.4" customHeight="1" thickBot="1" x14ac:dyDescent="0.6">
      <c r="A2" s="9"/>
      <c r="B2" s="40" t="s">
        <v>42</v>
      </c>
      <c r="C2" s="40"/>
      <c r="D2" s="40"/>
      <c r="E2" s="40"/>
      <c r="F2" s="40"/>
      <c r="G2" s="40"/>
      <c r="H2" s="40"/>
      <c r="I2" s="40"/>
      <c r="J2" s="40"/>
      <c r="K2" s="23"/>
      <c r="L2" s="9"/>
      <c r="M2" s="40" t="s">
        <v>27</v>
      </c>
      <c r="N2" s="40"/>
      <c r="O2" s="40"/>
      <c r="P2" s="40"/>
      <c r="Q2" s="40"/>
      <c r="R2" s="40"/>
      <c r="S2" s="40"/>
      <c r="T2" s="40"/>
      <c r="U2" s="40"/>
      <c r="V2" s="18"/>
      <c r="W2" s="9"/>
    </row>
    <row r="3" spans="1:23" s="11" customFormat="1" ht="23.5" x14ac:dyDescent="0.55000000000000004">
      <c r="A3" s="9"/>
      <c r="B3" s="12"/>
      <c r="C3" s="13"/>
      <c r="D3" s="14"/>
      <c r="E3" s="14"/>
      <c r="F3" s="14"/>
      <c r="G3" s="15"/>
      <c r="H3" s="15"/>
      <c r="I3" s="14"/>
      <c r="J3" s="14"/>
      <c r="K3" s="15"/>
      <c r="L3" s="9"/>
      <c r="M3" s="12"/>
      <c r="N3" s="19" t="s">
        <v>16</v>
      </c>
      <c r="O3" t="s">
        <v>29</v>
      </c>
      <c r="P3" s="14"/>
      <c r="Q3" s="14"/>
      <c r="R3" s="15"/>
      <c r="S3" s="15"/>
      <c r="T3" s="14"/>
      <c r="U3" s="14"/>
      <c r="V3" s="15"/>
      <c r="W3" s="9"/>
    </row>
    <row r="4" spans="1:23" s="8" customFormat="1" ht="17.399999999999999" customHeight="1" x14ac:dyDescent="0.35">
      <c r="F4" s="43">
        <f>SUBTOTAL(3,F6:F1048576)</f>
        <v>0</v>
      </c>
      <c r="K4" s="16"/>
      <c r="M4" s="16"/>
      <c r="N4" s="16"/>
    </row>
    <row r="5" spans="1:23" ht="29" x14ac:dyDescent="0.35">
      <c r="A5" s="9"/>
      <c r="B5" s="17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7" t="s">
        <v>34</v>
      </c>
      <c r="I5" s="17" t="s">
        <v>25</v>
      </c>
      <c r="J5" s="17" t="s">
        <v>9</v>
      </c>
      <c r="K5" s="24" t="s">
        <v>26</v>
      </c>
      <c r="L5" s="9"/>
      <c r="N5" t="s">
        <v>30</v>
      </c>
      <c r="Q5" t="s">
        <v>9</v>
      </c>
      <c r="W5" s="9"/>
    </row>
    <row r="6" spans="1:23" x14ac:dyDescent="0.35">
      <c r="N6" s="21" t="s">
        <v>17</v>
      </c>
      <c r="O6" s="21" t="s">
        <v>24</v>
      </c>
      <c r="P6" s="21" t="s">
        <v>25</v>
      </c>
      <c r="Q6" s="21" t="s">
        <v>11</v>
      </c>
      <c r="R6" s="21" t="s">
        <v>10</v>
      </c>
      <c r="S6" s="21" t="s">
        <v>12</v>
      </c>
      <c r="T6" s="21" t="s">
        <v>28</v>
      </c>
    </row>
    <row r="7" spans="1:23" x14ac:dyDescent="0.35">
      <c r="N7" t="s">
        <v>28</v>
      </c>
      <c r="Q7" s="22"/>
      <c r="R7" s="22"/>
      <c r="S7" s="22"/>
      <c r="T7" s="22"/>
    </row>
    <row r="8" spans="1:23" x14ac:dyDescent="0.35">
      <c r="N8">
        <v>1</v>
      </c>
      <c r="O8" t="s">
        <v>28</v>
      </c>
      <c r="P8" t="s">
        <v>8</v>
      </c>
      <c r="Q8" s="22"/>
      <c r="R8" s="22"/>
      <c r="S8" s="22">
        <v>300</v>
      </c>
      <c r="T8" s="22"/>
    </row>
    <row r="9" spans="1:23" x14ac:dyDescent="0.35">
      <c r="P9" t="s">
        <v>6</v>
      </c>
      <c r="Q9" s="22"/>
      <c r="R9" s="22">
        <v>300</v>
      </c>
      <c r="S9" s="22"/>
      <c r="T9" s="22"/>
    </row>
    <row r="10" spans="1:23" x14ac:dyDescent="0.35">
      <c r="P10" t="s">
        <v>7</v>
      </c>
      <c r="Q10" s="22"/>
      <c r="R10" s="22">
        <v>300</v>
      </c>
      <c r="S10" s="22"/>
      <c r="T10" s="22"/>
    </row>
    <row r="11" spans="1:23" x14ac:dyDescent="0.35">
      <c r="P11" t="s">
        <v>0</v>
      </c>
      <c r="Q11" s="22">
        <v>300</v>
      </c>
      <c r="R11" s="22"/>
      <c r="S11" s="22"/>
      <c r="T11" s="22"/>
    </row>
    <row r="12" spans="1:23" x14ac:dyDescent="0.35">
      <c r="N12" t="s">
        <v>23</v>
      </c>
      <c r="Q12" s="22">
        <v>300</v>
      </c>
      <c r="R12" s="22">
        <v>600</v>
      </c>
      <c r="S12" s="22">
        <v>300</v>
      </c>
      <c r="T12" s="22"/>
    </row>
  </sheetData>
  <autoFilter ref="B5:K5" xr:uid="{00000000-0001-0000-0200-000000000000}"/>
  <mergeCells count="2">
    <mergeCell ref="V1:W1"/>
    <mergeCell ref="A1:B1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CF3C5-B980-4005-9208-C263419CE86B}">
  <sheetPr>
    <tabColor theme="6" tint="0.39997558519241921"/>
  </sheetPr>
  <dimension ref="A1:AP5"/>
  <sheetViews>
    <sheetView tabSelected="1" workbookViewId="0">
      <selection activeCell="G10" sqref="G10"/>
    </sheetView>
  </sheetViews>
  <sheetFormatPr defaultColWidth="8.6328125" defaultRowHeight="14.5" x14ac:dyDescent="0.35"/>
  <cols>
    <col min="1" max="1" width="7.6328125" style="10" customWidth="1"/>
    <col min="3" max="3" width="13.36328125" customWidth="1"/>
    <col min="5" max="5" width="10.6328125" customWidth="1"/>
    <col min="7" max="7" width="16.36328125" bestFit="1" customWidth="1"/>
  </cols>
  <sheetData>
    <row r="1" spans="1:42" s="8" customFormat="1" ht="42" customHeight="1" x14ac:dyDescent="0.35">
      <c r="A1" s="47" t="e" vm="1">
        <v>#VALUE!</v>
      </c>
      <c r="B1" s="47"/>
      <c r="C1" s="39" t="s">
        <v>14</v>
      </c>
      <c r="E1" s="41"/>
      <c r="F1" s="41" t="s">
        <v>13</v>
      </c>
      <c r="G1" s="42">
        <f ca="1">TODAY()</f>
        <v>45750</v>
      </c>
    </row>
    <row r="2" spans="1:42" s="11" customFormat="1" ht="32.4" customHeight="1" thickBot="1" x14ac:dyDescent="0.6">
      <c r="A2" s="9"/>
      <c r="B2" s="40" t="s">
        <v>41</v>
      </c>
      <c r="C2" s="40"/>
      <c r="D2" s="40"/>
      <c r="E2" s="40"/>
      <c r="F2" s="40"/>
      <c r="G2" s="40"/>
      <c r="H2" s="18"/>
      <c r="I2" s="18"/>
      <c r="J2" s="18"/>
      <c r="K2" s="18"/>
      <c r="L2" s="18"/>
      <c r="M2" s="18"/>
      <c r="N2" s="18"/>
    </row>
    <row r="3" spans="1:42" s="11" customFormat="1" ht="21" customHeight="1" x14ac:dyDescent="0.55000000000000004">
      <c r="A3" s="9"/>
      <c r="B3" s="12"/>
      <c r="C3" s="31"/>
      <c r="D3" s="14"/>
      <c r="E3" s="14"/>
      <c r="F3" s="14"/>
      <c r="G3" s="15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</row>
    <row r="4" spans="1:42" s="8" customFormat="1" x14ac:dyDescent="0.35">
      <c r="A4" s="27"/>
      <c r="B4" s="27"/>
      <c r="C4" s="27"/>
      <c r="D4" s="27"/>
      <c r="E4" s="27"/>
      <c r="F4" s="27">
        <f>SUBTOTAL(3,F6:F1048576)</f>
        <v>0</v>
      </c>
      <c r="G4" s="27"/>
      <c r="H4" s="28"/>
      <c r="I4" s="16"/>
    </row>
    <row r="5" spans="1:42" s="1" customFormat="1" ht="54.65" customHeight="1" x14ac:dyDescent="0.35">
      <c r="A5" s="9"/>
      <c r="B5" s="17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</row>
  </sheetData>
  <mergeCells count="1">
    <mergeCell ref="A1:B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F5FA-883F-4B5E-B952-801C00813FE7}">
  <sheetPr codeName="Sheet10">
    <tabColor theme="6" tint="0.39997558519241921"/>
  </sheetPr>
  <dimension ref="A1:AC5"/>
  <sheetViews>
    <sheetView workbookViewId="0">
      <selection activeCell="F11" sqref="F11"/>
    </sheetView>
  </sheetViews>
  <sheetFormatPr defaultColWidth="8.6328125" defaultRowHeight="14.5" x14ac:dyDescent="0.35"/>
  <cols>
    <col min="1" max="1" width="7.6328125" style="10" customWidth="1"/>
    <col min="2" max="2" width="10.6328125" customWidth="1"/>
    <col min="3" max="3" width="12.36328125" customWidth="1"/>
    <col min="5" max="5" width="12" customWidth="1"/>
    <col min="7" max="7" width="16.36328125" bestFit="1" customWidth="1"/>
    <col min="8" max="8" width="12.54296875" customWidth="1"/>
  </cols>
  <sheetData>
    <row r="1" spans="1:29" s="8" customFormat="1" ht="42" customHeight="1" x14ac:dyDescent="0.35">
      <c r="A1" s="47" t="e" vm="1">
        <v>#VALUE!</v>
      </c>
      <c r="B1" s="47"/>
      <c r="C1" s="39" t="s">
        <v>14</v>
      </c>
      <c r="E1" s="41"/>
      <c r="F1" s="41" t="s">
        <v>13</v>
      </c>
      <c r="G1" s="42">
        <f ca="1">TODAY()</f>
        <v>45750</v>
      </c>
    </row>
    <row r="2" spans="1:29" s="26" customFormat="1" ht="24" thickBot="1" x14ac:dyDescent="0.4">
      <c r="A2" s="9"/>
      <c r="B2" s="40" t="s">
        <v>43</v>
      </c>
      <c r="C2" s="40"/>
      <c r="D2" s="40"/>
      <c r="E2" s="40"/>
      <c r="F2" s="40"/>
      <c r="G2" s="40"/>
    </row>
    <row r="3" spans="1:29" ht="19.25" customHeight="1" x14ac:dyDescent="0.35">
      <c r="A3" s="9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</row>
    <row r="4" spans="1:29" s="8" customFormat="1" ht="18.649999999999999" customHeight="1" x14ac:dyDescent="0.35">
      <c r="F4" s="43">
        <f>SUBTOTAL(3,F6:F1048576)</f>
        <v>0</v>
      </c>
      <c r="H4" s="16"/>
      <c r="I4" s="16"/>
    </row>
    <row r="5" spans="1:29" ht="44" customHeight="1" x14ac:dyDescent="0.35">
      <c r="A5" s="9"/>
      <c r="B5" s="17" t="s">
        <v>31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</sheetData>
  <autoFilter ref="B5:AC5" xr:uid="{7182F5FA-883F-4B5E-B952-801C00813FE7}"/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1749-904F-41C6-BC81-704868B911E9}">
  <sheetPr codeName="Sheet9">
    <tabColor rgb="FFFF0000"/>
  </sheetPr>
  <dimension ref="A1:DK5"/>
  <sheetViews>
    <sheetView workbookViewId="0">
      <selection activeCell="I11" sqref="I11"/>
    </sheetView>
  </sheetViews>
  <sheetFormatPr defaultColWidth="8.6328125" defaultRowHeight="14.5" x14ac:dyDescent="0.35"/>
  <cols>
    <col min="1" max="1" width="7.6328125" style="10" customWidth="1"/>
    <col min="3" max="3" width="11.6328125" customWidth="1"/>
    <col min="5" max="5" width="10.6328125" customWidth="1"/>
    <col min="6" max="6" width="12.36328125" customWidth="1"/>
    <col min="7" max="7" width="16.36328125" bestFit="1" customWidth="1"/>
    <col min="8" max="8" width="12.36328125" customWidth="1"/>
    <col min="9" max="10" width="11.453125" customWidth="1"/>
  </cols>
  <sheetData>
    <row r="1" spans="1:115" s="8" customFormat="1" ht="42" customHeight="1" x14ac:dyDescent="0.35">
      <c r="A1" s="47" t="e" vm="1">
        <v>#VALUE!</v>
      </c>
      <c r="B1" s="47"/>
      <c r="C1" s="39" t="s">
        <v>14</v>
      </c>
      <c r="E1" s="41"/>
      <c r="F1" s="41" t="s">
        <v>13</v>
      </c>
      <c r="G1" s="42">
        <f ca="1">TODAY()</f>
        <v>45750</v>
      </c>
    </row>
    <row r="2" spans="1:115" s="11" customFormat="1" ht="32.4" customHeight="1" thickBot="1" x14ac:dyDescent="0.6">
      <c r="A2" s="9"/>
      <c r="B2" s="40" t="s">
        <v>22</v>
      </c>
      <c r="C2" s="40"/>
      <c r="D2" s="40"/>
      <c r="E2" s="40"/>
      <c r="F2" s="40"/>
      <c r="G2" s="40"/>
      <c r="H2" s="40"/>
      <c r="I2" s="40"/>
      <c r="J2" s="40"/>
    </row>
    <row r="3" spans="1:115" s="11" customFormat="1" ht="21" customHeight="1" x14ac:dyDescent="0.55000000000000004">
      <c r="A3" s="9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</row>
    <row r="4" spans="1:115" s="8" customFormat="1" ht="16.25" customHeight="1" x14ac:dyDescent="0.35">
      <c r="F4" s="43">
        <f>SUBTOTAL(3,F6:F1048576)</f>
        <v>0</v>
      </c>
      <c r="H4" s="16"/>
    </row>
    <row r="5" spans="1:115" s="1" customFormat="1" ht="54.65" customHeight="1" x14ac:dyDescent="0.35">
      <c r="A5" s="9"/>
      <c r="B5" s="17" t="s">
        <v>16</v>
      </c>
      <c r="C5" s="17" t="s">
        <v>17</v>
      </c>
      <c r="D5" s="17" t="s">
        <v>18</v>
      </c>
      <c r="E5" s="17" t="s">
        <v>19</v>
      </c>
      <c r="F5" s="17" t="s">
        <v>20</v>
      </c>
      <c r="G5" s="17" t="s">
        <v>21</v>
      </c>
    </row>
  </sheetData>
  <autoFilter ref="B5:J5" xr:uid="{D3841749-904F-41C6-BC81-704868B911E9}"/>
  <mergeCells count="1">
    <mergeCell ref="A1:B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C000"/>
  </sheetPr>
  <dimension ref="A1:P245"/>
  <sheetViews>
    <sheetView topLeftCell="E1" zoomScale="90" zoomScaleNormal="90" workbookViewId="0">
      <pane ySplit="3" topLeftCell="A4" activePane="bottomLeft" state="frozen"/>
      <selection activeCell="B1" sqref="B1"/>
      <selection pane="bottomLeft" activeCell="L4" sqref="L4"/>
    </sheetView>
  </sheetViews>
  <sheetFormatPr defaultColWidth="8.90625" defaultRowHeight="14.5" x14ac:dyDescent="0.35"/>
  <cols>
    <col min="1" max="2" width="3.54296875" style="3" customWidth="1"/>
    <col min="3" max="3" width="9.36328125" customWidth="1"/>
    <col min="4" max="4" width="27.36328125" customWidth="1"/>
    <col min="5" max="5" width="16.6328125" customWidth="1"/>
    <col min="6" max="8" width="7.453125" customWidth="1"/>
    <col min="9" max="9" width="7.453125" style="6" customWidth="1"/>
    <col min="10" max="10" width="15.36328125" customWidth="1"/>
    <col min="11" max="11" width="44.36328125" bestFit="1" customWidth="1"/>
    <col min="12" max="12" width="34.453125" customWidth="1"/>
    <col min="13" max="13" width="14.453125" customWidth="1"/>
    <col min="14" max="16" width="3.90625" style="3" customWidth="1"/>
  </cols>
  <sheetData>
    <row r="1" spans="1:16" ht="31.25" customHeight="1" x14ac:dyDescent="0.35">
      <c r="C1" s="46" t="s">
        <v>39</v>
      </c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24" customHeight="1" thickBot="1" x14ac:dyDescent="0.4">
      <c r="C2" s="32"/>
      <c r="D2" s="33"/>
      <c r="E2" s="33"/>
      <c r="F2" s="33"/>
      <c r="G2" s="33"/>
      <c r="H2" s="33"/>
      <c r="I2" s="44"/>
      <c r="J2" s="33"/>
      <c r="K2" s="33"/>
      <c r="L2" s="33"/>
      <c r="M2" s="33"/>
    </row>
    <row r="3" spans="1:16" s="38" customFormat="1" ht="32" customHeight="1" thickBot="1" x14ac:dyDescent="0.4">
      <c r="A3" s="35"/>
      <c r="B3" s="36"/>
      <c r="C3" s="37" t="s">
        <v>1</v>
      </c>
      <c r="D3" s="37" t="s">
        <v>37</v>
      </c>
      <c r="E3" s="37" t="s">
        <v>38</v>
      </c>
      <c r="F3" s="37" t="s">
        <v>32</v>
      </c>
      <c r="G3" s="37" t="s">
        <v>35</v>
      </c>
      <c r="H3" s="37" t="s">
        <v>33</v>
      </c>
      <c r="I3" s="45" t="s">
        <v>2</v>
      </c>
      <c r="J3" s="37" t="s">
        <v>3</v>
      </c>
      <c r="K3" s="37" t="s">
        <v>4</v>
      </c>
      <c r="L3" s="37" t="s">
        <v>5</v>
      </c>
      <c r="M3" s="37" t="s">
        <v>40</v>
      </c>
      <c r="N3" s="36"/>
      <c r="O3" s="36"/>
      <c r="P3" s="36"/>
    </row>
    <row r="4" spans="1:16" x14ac:dyDescent="0.35">
      <c r="B4" s="3">
        <v>1</v>
      </c>
      <c r="E4" s="6"/>
      <c r="G4" s="5"/>
    </row>
    <row r="5" spans="1:16" x14ac:dyDescent="0.35">
      <c r="B5" s="3">
        <v>2</v>
      </c>
      <c r="E5" s="6"/>
    </row>
    <row r="6" spans="1:16" x14ac:dyDescent="0.35">
      <c r="B6" s="3">
        <v>3</v>
      </c>
      <c r="E6" s="6"/>
    </row>
    <row r="7" spans="1:16" x14ac:dyDescent="0.35">
      <c r="B7" s="3">
        <v>4</v>
      </c>
      <c r="E7" s="6"/>
    </row>
    <row r="8" spans="1:16" x14ac:dyDescent="0.35">
      <c r="B8" s="3">
        <v>5</v>
      </c>
      <c r="E8" s="6"/>
    </row>
    <row r="9" spans="1:16" x14ac:dyDescent="0.35">
      <c r="B9" s="3">
        <v>6</v>
      </c>
      <c r="E9" s="6"/>
    </row>
    <row r="10" spans="1:16" x14ac:dyDescent="0.35">
      <c r="B10" s="3">
        <v>7</v>
      </c>
      <c r="F10" s="4"/>
      <c r="G10" s="4"/>
      <c r="I10" s="7"/>
      <c r="L10" s="6"/>
    </row>
    <row r="11" spans="1:16" x14ac:dyDescent="0.35">
      <c r="B11" s="3">
        <v>8</v>
      </c>
      <c r="E11" s="6"/>
    </row>
    <row r="12" spans="1:16" x14ac:dyDescent="0.35">
      <c r="B12" s="3">
        <v>9</v>
      </c>
      <c r="C12" s="48"/>
      <c r="D12" s="48"/>
      <c r="L12" s="6"/>
    </row>
    <row r="13" spans="1:16" x14ac:dyDescent="0.35">
      <c r="B13" s="3">
        <v>10</v>
      </c>
      <c r="C13" s="48"/>
      <c r="D13" s="48"/>
      <c r="L13" s="6"/>
    </row>
    <row r="14" spans="1:16" x14ac:dyDescent="0.35">
      <c r="B14" s="3">
        <v>11</v>
      </c>
      <c r="C14" s="48"/>
      <c r="D14" s="48"/>
      <c r="L14" s="6"/>
    </row>
    <row r="15" spans="1:16" x14ac:dyDescent="0.35">
      <c r="B15" s="3">
        <v>12</v>
      </c>
      <c r="C15" s="48"/>
      <c r="D15" s="48"/>
      <c r="L15" s="6"/>
    </row>
    <row r="16" spans="1:16" x14ac:dyDescent="0.35">
      <c r="B16" s="3">
        <v>13</v>
      </c>
      <c r="C16" s="48"/>
      <c r="D16" s="48"/>
      <c r="E16" s="6"/>
    </row>
    <row r="17" spans="2:12" x14ac:dyDescent="0.35">
      <c r="B17" s="3">
        <v>14</v>
      </c>
      <c r="C17" s="48"/>
      <c r="D17" s="48"/>
      <c r="E17" s="6"/>
    </row>
    <row r="18" spans="2:12" x14ac:dyDescent="0.35">
      <c r="B18" s="3">
        <v>15</v>
      </c>
      <c r="C18" s="48"/>
      <c r="D18" s="48"/>
      <c r="L18" s="6"/>
    </row>
    <row r="19" spans="2:12" x14ac:dyDescent="0.35">
      <c r="B19" s="3">
        <v>16</v>
      </c>
      <c r="C19" s="48"/>
      <c r="D19" s="48"/>
      <c r="L19" s="6"/>
    </row>
    <row r="20" spans="2:12" x14ac:dyDescent="0.35">
      <c r="B20" s="3">
        <v>17</v>
      </c>
      <c r="C20" s="48"/>
      <c r="D20" s="48"/>
      <c r="L20" s="6"/>
    </row>
    <row r="21" spans="2:12" x14ac:dyDescent="0.35">
      <c r="B21" s="3">
        <v>18</v>
      </c>
      <c r="C21" s="48"/>
      <c r="D21" s="48"/>
      <c r="L21" s="6"/>
    </row>
    <row r="22" spans="2:12" x14ac:dyDescent="0.35">
      <c r="B22" s="3">
        <v>19</v>
      </c>
      <c r="C22" s="48"/>
      <c r="D22" s="48"/>
      <c r="L22" s="6"/>
    </row>
    <row r="23" spans="2:12" x14ac:dyDescent="0.35">
      <c r="B23" s="3">
        <v>20</v>
      </c>
      <c r="C23" s="48"/>
      <c r="D23" s="48"/>
      <c r="L23" s="6"/>
    </row>
    <row r="24" spans="2:12" x14ac:dyDescent="0.35">
      <c r="B24" s="3">
        <v>21</v>
      </c>
      <c r="C24" s="48"/>
      <c r="D24" s="48"/>
      <c r="L24" s="6"/>
    </row>
    <row r="25" spans="2:12" x14ac:dyDescent="0.35">
      <c r="B25" s="3">
        <v>22</v>
      </c>
      <c r="C25" s="48"/>
      <c r="D25" s="48"/>
      <c r="L25" s="6"/>
    </row>
    <row r="26" spans="2:12" x14ac:dyDescent="0.35">
      <c r="B26" s="3">
        <v>23</v>
      </c>
      <c r="C26" s="48"/>
      <c r="D26" s="48"/>
      <c r="L26" s="6"/>
    </row>
    <row r="27" spans="2:12" x14ac:dyDescent="0.35">
      <c r="B27" s="3">
        <v>24</v>
      </c>
      <c r="C27" s="48"/>
      <c r="D27" s="48"/>
      <c r="L27" s="6"/>
    </row>
    <row r="28" spans="2:12" x14ac:dyDescent="0.35">
      <c r="B28" s="3">
        <v>25</v>
      </c>
      <c r="C28" s="48"/>
      <c r="D28" s="48"/>
      <c r="L28" s="6"/>
    </row>
    <row r="29" spans="2:12" x14ac:dyDescent="0.35">
      <c r="B29" s="3">
        <v>26</v>
      </c>
      <c r="C29" s="48"/>
      <c r="D29" s="48"/>
      <c r="L29" s="6"/>
    </row>
    <row r="30" spans="2:12" x14ac:dyDescent="0.35">
      <c r="B30" s="3">
        <v>27</v>
      </c>
      <c r="C30" s="48"/>
      <c r="D30" s="48"/>
      <c r="L30" s="6"/>
    </row>
    <row r="31" spans="2:12" x14ac:dyDescent="0.35">
      <c r="B31" s="3">
        <v>28</v>
      </c>
      <c r="C31" s="48"/>
      <c r="D31" s="48"/>
      <c r="L31" s="6"/>
    </row>
    <row r="32" spans="2:12" x14ac:dyDescent="0.35">
      <c r="B32" s="3">
        <v>29</v>
      </c>
      <c r="C32" s="48"/>
      <c r="D32" s="48"/>
      <c r="L32" s="6"/>
    </row>
    <row r="33" spans="2:12" x14ac:dyDescent="0.35">
      <c r="B33" s="3">
        <v>30</v>
      </c>
      <c r="C33" s="48"/>
      <c r="D33" s="48"/>
      <c r="L33" s="6"/>
    </row>
    <row r="34" spans="2:12" x14ac:dyDescent="0.35">
      <c r="B34" s="3">
        <v>31</v>
      </c>
      <c r="C34" s="48"/>
      <c r="D34" s="48"/>
      <c r="L34" s="6"/>
    </row>
    <row r="35" spans="2:12" x14ac:dyDescent="0.35">
      <c r="B35" s="3">
        <v>32</v>
      </c>
      <c r="C35" s="48"/>
      <c r="D35" s="48"/>
      <c r="G35" s="5"/>
      <c r="L35" s="6"/>
    </row>
    <row r="36" spans="2:12" x14ac:dyDescent="0.35">
      <c r="B36" s="3">
        <v>33</v>
      </c>
      <c r="C36" s="48"/>
      <c r="D36" s="48"/>
      <c r="G36" s="5"/>
      <c r="L36" s="6"/>
    </row>
    <row r="37" spans="2:12" x14ac:dyDescent="0.35">
      <c r="B37" s="3">
        <v>34</v>
      </c>
      <c r="C37" s="48"/>
      <c r="D37" s="48"/>
      <c r="G37" s="5"/>
      <c r="L37" s="6"/>
    </row>
    <row r="38" spans="2:12" x14ac:dyDescent="0.35">
      <c r="B38" s="3">
        <v>35</v>
      </c>
      <c r="C38" s="48"/>
      <c r="D38" s="48"/>
      <c r="G38" s="5"/>
      <c r="L38" s="6"/>
    </row>
    <row r="39" spans="2:12" x14ac:dyDescent="0.35">
      <c r="B39" s="3">
        <v>36</v>
      </c>
      <c r="C39" s="48"/>
      <c r="D39" s="48"/>
      <c r="G39" s="5"/>
      <c r="L39" s="6"/>
    </row>
    <row r="40" spans="2:12" x14ac:dyDescent="0.35">
      <c r="B40" s="3">
        <v>37</v>
      </c>
      <c r="C40" s="48"/>
      <c r="D40" s="48"/>
      <c r="G40" s="5"/>
      <c r="L40" s="6"/>
    </row>
    <row r="41" spans="2:12" x14ac:dyDescent="0.35">
      <c r="B41" s="3">
        <v>38</v>
      </c>
      <c r="C41" s="48"/>
      <c r="D41" s="48"/>
      <c r="F41" s="5"/>
      <c r="G41" s="5"/>
      <c r="L41" s="6"/>
    </row>
    <row r="42" spans="2:12" x14ac:dyDescent="0.35">
      <c r="B42" s="3">
        <v>39</v>
      </c>
      <c r="C42" s="48"/>
      <c r="D42" s="48"/>
      <c r="F42" s="5"/>
      <c r="G42" s="5"/>
      <c r="L42" s="6"/>
    </row>
    <row r="43" spans="2:12" x14ac:dyDescent="0.35">
      <c r="B43" s="3">
        <v>40</v>
      </c>
      <c r="C43" s="48"/>
      <c r="D43" s="48"/>
      <c r="F43" s="5"/>
      <c r="G43" s="5"/>
      <c r="L43" s="6"/>
    </row>
    <row r="44" spans="2:12" x14ac:dyDescent="0.35">
      <c r="B44" s="3">
        <v>41</v>
      </c>
      <c r="C44" s="48"/>
      <c r="D44" s="48"/>
      <c r="F44" s="5"/>
      <c r="G44" s="5"/>
      <c r="L44" s="6"/>
    </row>
    <row r="45" spans="2:12" x14ac:dyDescent="0.35">
      <c r="B45" s="3">
        <v>42</v>
      </c>
      <c r="C45" s="48"/>
      <c r="D45" s="48"/>
      <c r="F45" s="5"/>
      <c r="G45" s="5"/>
      <c r="L45" s="6"/>
    </row>
    <row r="46" spans="2:12" x14ac:dyDescent="0.35">
      <c r="B46" s="3">
        <v>43</v>
      </c>
      <c r="C46" s="48"/>
      <c r="D46" s="48"/>
      <c r="F46" s="5"/>
      <c r="G46" s="5"/>
      <c r="L46" s="6"/>
    </row>
    <row r="47" spans="2:12" x14ac:dyDescent="0.35">
      <c r="B47" s="3">
        <v>44</v>
      </c>
      <c r="C47" s="48"/>
      <c r="D47" s="48"/>
      <c r="F47" s="5"/>
      <c r="G47" s="5"/>
      <c r="L47" s="6"/>
    </row>
    <row r="48" spans="2:12" x14ac:dyDescent="0.35">
      <c r="B48" s="3">
        <v>45</v>
      </c>
      <c r="C48" s="48"/>
      <c r="D48" s="48"/>
      <c r="F48" s="5"/>
      <c r="G48" s="5"/>
      <c r="L48" s="6"/>
    </row>
    <row r="49" spans="2:12" x14ac:dyDescent="0.35">
      <c r="B49" s="3">
        <v>46</v>
      </c>
      <c r="C49" s="48"/>
      <c r="D49" s="48"/>
      <c r="F49" s="5"/>
      <c r="G49" s="5"/>
      <c r="L49" s="6"/>
    </row>
    <row r="50" spans="2:12" x14ac:dyDescent="0.35">
      <c r="B50" s="3">
        <v>47</v>
      </c>
      <c r="C50" s="48"/>
      <c r="D50" s="48"/>
      <c r="F50" s="5"/>
      <c r="G50" s="5"/>
      <c r="L50" s="6"/>
    </row>
    <row r="51" spans="2:12" x14ac:dyDescent="0.35">
      <c r="B51" s="3">
        <v>48</v>
      </c>
      <c r="C51" s="48"/>
      <c r="D51" s="48"/>
      <c r="F51" s="5"/>
      <c r="G51" s="5"/>
      <c r="L51" s="6"/>
    </row>
    <row r="52" spans="2:12" x14ac:dyDescent="0.35">
      <c r="B52" s="3">
        <v>49</v>
      </c>
      <c r="C52" s="48"/>
      <c r="D52" s="48"/>
      <c r="F52" s="5"/>
      <c r="G52" s="5"/>
      <c r="L52" s="6"/>
    </row>
    <row r="53" spans="2:12" x14ac:dyDescent="0.35">
      <c r="B53" s="3">
        <v>50</v>
      </c>
      <c r="C53" s="48"/>
      <c r="D53" s="48"/>
      <c r="F53" s="5"/>
      <c r="G53" s="5"/>
      <c r="L53" s="6"/>
    </row>
    <row r="54" spans="2:12" x14ac:dyDescent="0.35">
      <c r="B54" s="3">
        <v>51</v>
      </c>
      <c r="C54" s="48"/>
      <c r="D54" s="48"/>
      <c r="F54" s="5"/>
      <c r="G54" s="5"/>
      <c r="L54" s="6"/>
    </row>
    <row r="55" spans="2:12" x14ac:dyDescent="0.35">
      <c r="B55" s="3">
        <v>52</v>
      </c>
      <c r="C55" s="48"/>
      <c r="D55" s="48"/>
      <c r="F55" s="5"/>
      <c r="G55" s="5"/>
      <c r="L55" s="6"/>
    </row>
    <row r="56" spans="2:12" x14ac:dyDescent="0.35">
      <c r="B56" s="3">
        <v>53</v>
      </c>
      <c r="C56" s="48"/>
      <c r="D56" s="48"/>
      <c r="F56" s="5"/>
      <c r="G56" s="5"/>
      <c r="L56" s="6"/>
    </row>
    <row r="57" spans="2:12" x14ac:dyDescent="0.35">
      <c r="B57" s="3">
        <v>54</v>
      </c>
      <c r="C57" s="48"/>
      <c r="D57" s="48"/>
      <c r="F57" s="5"/>
      <c r="G57" s="5"/>
      <c r="L57" s="6"/>
    </row>
    <row r="58" spans="2:12" x14ac:dyDescent="0.35">
      <c r="B58" s="3">
        <v>55</v>
      </c>
      <c r="C58" s="48"/>
      <c r="D58" s="48"/>
      <c r="F58" s="5"/>
      <c r="G58" s="5"/>
      <c r="L58" s="6"/>
    </row>
    <row r="59" spans="2:12" x14ac:dyDescent="0.35">
      <c r="B59" s="3">
        <v>56</v>
      </c>
      <c r="C59" s="48"/>
      <c r="D59" s="48"/>
      <c r="F59" s="5"/>
      <c r="G59" s="5"/>
      <c r="L59" s="6"/>
    </row>
    <row r="60" spans="2:12" x14ac:dyDescent="0.35">
      <c r="B60" s="3">
        <v>57</v>
      </c>
      <c r="C60" s="48"/>
      <c r="D60" s="48"/>
      <c r="F60" s="5"/>
      <c r="G60" s="5"/>
      <c r="L60" s="6"/>
    </row>
    <row r="61" spans="2:12" x14ac:dyDescent="0.35">
      <c r="B61" s="3">
        <v>58</v>
      </c>
      <c r="C61" s="48"/>
      <c r="D61" s="48"/>
      <c r="F61" s="5"/>
      <c r="G61" s="5"/>
      <c r="L61" s="6"/>
    </row>
    <row r="62" spans="2:12" x14ac:dyDescent="0.35">
      <c r="B62" s="3">
        <v>59</v>
      </c>
      <c r="C62" s="48"/>
      <c r="D62" s="48"/>
      <c r="F62" s="5"/>
      <c r="G62" s="5"/>
      <c r="L62" s="6"/>
    </row>
    <row r="63" spans="2:12" x14ac:dyDescent="0.35">
      <c r="B63" s="3">
        <v>60</v>
      </c>
      <c r="C63" s="48"/>
      <c r="D63" s="48"/>
      <c r="F63" s="5"/>
      <c r="G63" s="5"/>
      <c r="L63" s="6"/>
    </row>
    <row r="64" spans="2:12" x14ac:dyDescent="0.35">
      <c r="B64" s="3">
        <v>61</v>
      </c>
      <c r="C64" s="48"/>
      <c r="D64" s="48"/>
      <c r="F64" s="5"/>
      <c r="G64" s="5"/>
      <c r="L64" s="6"/>
    </row>
    <row r="65" spans="2:12" x14ac:dyDescent="0.35">
      <c r="B65" s="3">
        <v>62</v>
      </c>
      <c r="C65" s="48"/>
      <c r="D65" s="49"/>
      <c r="L65" s="6"/>
    </row>
    <row r="66" spans="2:12" x14ac:dyDescent="0.35">
      <c r="B66" s="3">
        <v>63</v>
      </c>
      <c r="C66" s="48"/>
      <c r="D66" s="48"/>
      <c r="L66" s="6"/>
    </row>
    <row r="67" spans="2:12" x14ac:dyDescent="0.35">
      <c r="B67" s="3">
        <v>64</v>
      </c>
      <c r="C67" s="48"/>
      <c r="D67" s="48"/>
      <c r="L67" s="6"/>
    </row>
    <row r="68" spans="2:12" x14ac:dyDescent="0.35">
      <c r="B68" s="3">
        <v>65</v>
      </c>
      <c r="C68" s="48"/>
      <c r="D68" s="48"/>
      <c r="L68" s="6"/>
    </row>
    <row r="69" spans="2:12" x14ac:dyDescent="0.35">
      <c r="B69" s="3">
        <v>66</v>
      </c>
      <c r="C69" s="48"/>
      <c r="D69" s="48"/>
      <c r="L69" s="6"/>
    </row>
    <row r="70" spans="2:12" x14ac:dyDescent="0.35">
      <c r="B70" s="3">
        <v>67</v>
      </c>
      <c r="C70" s="48"/>
      <c r="D70" s="48"/>
      <c r="L70" s="6"/>
    </row>
    <row r="71" spans="2:12" x14ac:dyDescent="0.35">
      <c r="B71" s="3">
        <v>68</v>
      </c>
      <c r="C71" s="48"/>
      <c r="D71" s="48"/>
      <c r="L71" s="6"/>
    </row>
    <row r="72" spans="2:12" x14ac:dyDescent="0.35">
      <c r="B72" s="3">
        <v>69</v>
      </c>
      <c r="C72" s="48"/>
      <c r="D72" s="48"/>
      <c r="L72" s="6"/>
    </row>
    <row r="73" spans="2:12" x14ac:dyDescent="0.35">
      <c r="B73" s="3">
        <v>70</v>
      </c>
      <c r="C73" s="48"/>
      <c r="D73" s="48"/>
      <c r="L73" s="6"/>
    </row>
    <row r="74" spans="2:12" x14ac:dyDescent="0.35">
      <c r="B74" s="3">
        <v>71</v>
      </c>
      <c r="C74" s="48"/>
      <c r="D74" s="48"/>
      <c r="L74" s="6"/>
    </row>
    <row r="75" spans="2:12" x14ac:dyDescent="0.35">
      <c r="B75" s="3">
        <v>72</v>
      </c>
      <c r="C75" s="48"/>
      <c r="D75" s="48"/>
      <c r="L75" s="6"/>
    </row>
    <row r="76" spans="2:12" x14ac:dyDescent="0.35">
      <c r="B76" s="3">
        <v>73</v>
      </c>
      <c r="C76" s="48"/>
      <c r="D76" s="48"/>
      <c r="L76" s="6"/>
    </row>
    <row r="77" spans="2:12" x14ac:dyDescent="0.35">
      <c r="B77" s="3">
        <v>74</v>
      </c>
      <c r="C77" s="48"/>
      <c r="D77" s="48"/>
      <c r="L77" s="6"/>
    </row>
    <row r="78" spans="2:12" x14ac:dyDescent="0.35">
      <c r="B78" s="3">
        <v>75</v>
      </c>
      <c r="C78" s="48"/>
      <c r="D78" s="48"/>
      <c r="L78" s="6"/>
    </row>
    <row r="79" spans="2:12" x14ac:dyDescent="0.35">
      <c r="B79" s="3">
        <v>76</v>
      </c>
      <c r="C79" s="48"/>
      <c r="D79" s="48"/>
      <c r="L79" s="6"/>
    </row>
    <row r="80" spans="2:12" x14ac:dyDescent="0.35">
      <c r="B80" s="3">
        <v>77</v>
      </c>
      <c r="C80" s="48"/>
      <c r="D80" s="48"/>
      <c r="L80" s="6"/>
    </row>
    <row r="81" spans="2:12" x14ac:dyDescent="0.35">
      <c r="B81" s="3">
        <v>78</v>
      </c>
      <c r="C81" s="48"/>
      <c r="D81" s="48"/>
      <c r="L81" s="6"/>
    </row>
    <row r="82" spans="2:12" x14ac:dyDescent="0.35">
      <c r="B82" s="3">
        <v>79</v>
      </c>
      <c r="C82" s="48"/>
      <c r="D82" s="48"/>
      <c r="L82" s="6"/>
    </row>
    <row r="83" spans="2:12" x14ac:dyDescent="0.35">
      <c r="B83" s="3">
        <v>80</v>
      </c>
      <c r="C83" s="48"/>
      <c r="D83" s="48"/>
      <c r="L83" s="6"/>
    </row>
    <row r="84" spans="2:12" x14ac:dyDescent="0.35">
      <c r="B84" s="3">
        <v>81</v>
      </c>
      <c r="C84" s="48"/>
      <c r="D84" s="48"/>
      <c r="L84" s="6"/>
    </row>
    <row r="85" spans="2:12" x14ac:dyDescent="0.35">
      <c r="B85" s="3">
        <v>82</v>
      </c>
      <c r="C85" s="48"/>
      <c r="D85" s="48"/>
      <c r="L85" s="6"/>
    </row>
    <row r="86" spans="2:12" x14ac:dyDescent="0.35">
      <c r="B86" s="3">
        <v>83</v>
      </c>
      <c r="C86" s="48"/>
      <c r="D86" s="48"/>
      <c r="L86" s="6"/>
    </row>
    <row r="87" spans="2:12" x14ac:dyDescent="0.35">
      <c r="B87" s="3">
        <v>84</v>
      </c>
      <c r="C87" s="48"/>
      <c r="D87" s="48"/>
      <c r="L87" s="6"/>
    </row>
    <row r="88" spans="2:12" x14ac:dyDescent="0.35">
      <c r="B88" s="3">
        <v>85</v>
      </c>
      <c r="C88" s="48"/>
      <c r="D88" s="48"/>
    </row>
    <row r="89" spans="2:12" x14ac:dyDescent="0.35">
      <c r="B89" s="3">
        <v>86</v>
      </c>
      <c r="C89" s="48"/>
      <c r="D89" s="48"/>
    </row>
    <row r="90" spans="2:12" x14ac:dyDescent="0.35">
      <c r="B90" s="3">
        <v>87</v>
      </c>
      <c r="C90" s="48"/>
      <c r="D90" s="48"/>
    </row>
    <row r="91" spans="2:12" x14ac:dyDescent="0.35">
      <c r="B91" s="3">
        <v>88</v>
      </c>
      <c r="C91" s="48"/>
      <c r="D91" s="48"/>
    </row>
    <row r="92" spans="2:12" x14ac:dyDescent="0.35">
      <c r="B92" s="3">
        <v>89</v>
      </c>
      <c r="C92" s="48"/>
      <c r="D92" s="48"/>
    </row>
    <row r="93" spans="2:12" x14ac:dyDescent="0.35">
      <c r="B93" s="3">
        <v>90</v>
      </c>
      <c r="C93" s="48"/>
      <c r="D93" s="48"/>
    </row>
    <row r="94" spans="2:12" x14ac:dyDescent="0.35">
      <c r="B94" s="3">
        <v>91</v>
      </c>
      <c r="C94" s="48"/>
      <c r="D94" s="48"/>
    </row>
    <row r="95" spans="2:12" x14ac:dyDescent="0.35">
      <c r="B95" s="3">
        <v>92</v>
      </c>
      <c r="C95" s="48"/>
      <c r="D95" s="48"/>
    </row>
    <row r="96" spans="2:12" x14ac:dyDescent="0.35">
      <c r="B96" s="3">
        <v>93</v>
      </c>
      <c r="C96" s="48"/>
      <c r="D96" s="48"/>
    </row>
    <row r="97" spans="2:7" x14ac:dyDescent="0.35">
      <c r="B97" s="3">
        <v>94</v>
      </c>
      <c r="C97" s="48"/>
      <c r="D97" s="48"/>
    </row>
    <row r="98" spans="2:7" x14ac:dyDescent="0.35">
      <c r="B98" s="3">
        <v>95</v>
      </c>
      <c r="C98" s="48"/>
      <c r="D98" s="48"/>
    </row>
    <row r="99" spans="2:7" x14ac:dyDescent="0.35">
      <c r="B99" s="3">
        <v>96</v>
      </c>
      <c r="C99" s="48"/>
      <c r="D99" s="48"/>
      <c r="F99" s="4"/>
      <c r="G99" s="4"/>
    </row>
    <row r="100" spans="2:7" x14ac:dyDescent="0.35">
      <c r="B100" s="3">
        <v>97</v>
      </c>
      <c r="C100" s="48"/>
      <c r="D100" s="48"/>
      <c r="F100" s="4"/>
      <c r="G100" s="4"/>
    </row>
    <row r="101" spans="2:7" x14ac:dyDescent="0.35">
      <c r="B101" s="3">
        <v>98</v>
      </c>
      <c r="C101" s="48"/>
      <c r="D101" s="48"/>
      <c r="F101" s="4"/>
      <c r="G101" s="4"/>
    </row>
    <row r="102" spans="2:7" x14ac:dyDescent="0.35">
      <c r="B102" s="3">
        <v>99</v>
      </c>
      <c r="C102" s="48"/>
      <c r="D102" s="48"/>
      <c r="F102" s="4"/>
      <c r="G102" s="4"/>
    </row>
    <row r="103" spans="2:7" x14ac:dyDescent="0.35">
      <c r="B103" s="3">
        <v>100</v>
      </c>
      <c r="C103" s="48"/>
      <c r="D103" s="48"/>
    </row>
    <row r="104" spans="2:7" x14ac:dyDescent="0.35">
      <c r="B104" s="3">
        <v>101</v>
      </c>
      <c r="C104" s="48"/>
      <c r="D104" s="48"/>
      <c r="F104" s="4"/>
      <c r="G104" s="4"/>
    </row>
    <row r="105" spans="2:7" x14ac:dyDescent="0.35">
      <c r="B105" s="3">
        <v>102</v>
      </c>
      <c r="C105" s="48"/>
      <c r="D105" s="48"/>
    </row>
    <row r="106" spans="2:7" x14ac:dyDescent="0.35">
      <c r="B106" s="3">
        <v>103</v>
      </c>
      <c r="C106" s="48"/>
      <c r="D106" s="48"/>
    </row>
    <row r="107" spans="2:7" x14ac:dyDescent="0.35">
      <c r="B107" s="3">
        <v>104</v>
      </c>
      <c r="C107" s="48"/>
      <c r="D107" s="48"/>
    </row>
    <row r="108" spans="2:7" x14ac:dyDescent="0.35">
      <c r="B108" s="3">
        <v>105</v>
      </c>
      <c r="C108" s="48"/>
      <c r="D108" s="48"/>
    </row>
    <row r="109" spans="2:7" x14ac:dyDescent="0.35">
      <c r="B109" s="3">
        <v>106</v>
      </c>
      <c r="C109" s="48"/>
      <c r="D109" s="48"/>
    </row>
    <row r="110" spans="2:7" x14ac:dyDescent="0.35">
      <c r="B110" s="3">
        <v>107</v>
      </c>
      <c r="C110" s="48"/>
      <c r="D110" s="48"/>
    </row>
    <row r="111" spans="2:7" x14ac:dyDescent="0.35">
      <c r="B111" s="3">
        <v>108</v>
      </c>
      <c r="C111" s="48"/>
      <c r="D111" s="48"/>
    </row>
    <row r="112" spans="2:7" x14ac:dyDescent="0.35">
      <c r="B112" s="3">
        <v>109</v>
      </c>
      <c r="C112" s="48"/>
      <c r="D112" s="48"/>
    </row>
    <row r="113" spans="2:4" x14ac:dyDescent="0.35">
      <c r="B113" s="3">
        <v>110</v>
      </c>
      <c r="C113" s="48"/>
      <c r="D113" s="48"/>
    </row>
    <row r="114" spans="2:4" x14ac:dyDescent="0.35">
      <c r="B114" s="3">
        <v>111</v>
      </c>
      <c r="C114" s="48"/>
      <c r="D114" s="48"/>
    </row>
    <row r="115" spans="2:4" x14ac:dyDescent="0.35">
      <c r="B115" s="3">
        <v>112</v>
      </c>
      <c r="C115" s="48"/>
      <c r="D115" s="48"/>
    </row>
    <row r="116" spans="2:4" x14ac:dyDescent="0.35">
      <c r="B116" s="3">
        <v>113</v>
      </c>
      <c r="C116" s="48"/>
      <c r="D116" s="48"/>
    </row>
    <row r="117" spans="2:4" x14ac:dyDescent="0.35">
      <c r="B117" s="3">
        <v>114</v>
      </c>
      <c r="C117" s="48"/>
      <c r="D117" s="48"/>
    </row>
    <row r="118" spans="2:4" x14ac:dyDescent="0.35">
      <c r="B118" s="3">
        <v>115</v>
      </c>
      <c r="C118" s="48"/>
      <c r="D118" s="48"/>
    </row>
    <row r="119" spans="2:4" x14ac:dyDescent="0.35">
      <c r="B119" s="3">
        <v>116</v>
      </c>
      <c r="C119" s="48"/>
      <c r="D119" s="48"/>
    </row>
    <row r="120" spans="2:4" x14ac:dyDescent="0.35">
      <c r="B120" s="3">
        <v>117</v>
      </c>
      <c r="C120" s="48"/>
      <c r="D120" s="48"/>
    </row>
    <row r="121" spans="2:4" x14ac:dyDescent="0.35">
      <c r="B121" s="3">
        <v>118</v>
      </c>
      <c r="C121" s="48"/>
      <c r="D121" s="48"/>
    </row>
    <row r="122" spans="2:4" x14ac:dyDescent="0.35">
      <c r="B122" s="3">
        <v>119</v>
      </c>
      <c r="C122" s="48"/>
      <c r="D122" s="48"/>
    </row>
    <row r="123" spans="2:4" x14ac:dyDescent="0.35">
      <c r="B123" s="3">
        <v>120</v>
      </c>
      <c r="C123" s="48"/>
      <c r="D123" s="48"/>
    </row>
    <row r="124" spans="2:4" x14ac:dyDescent="0.35">
      <c r="B124" s="3">
        <v>121</v>
      </c>
      <c r="C124" s="48"/>
      <c r="D124" s="48"/>
    </row>
    <row r="125" spans="2:4" x14ac:dyDescent="0.35">
      <c r="B125" s="3">
        <v>122</v>
      </c>
      <c r="C125" s="48"/>
      <c r="D125" s="48"/>
    </row>
    <row r="126" spans="2:4" x14ac:dyDescent="0.35">
      <c r="B126" s="3">
        <v>123</v>
      </c>
      <c r="C126" s="48"/>
      <c r="D126" s="48"/>
    </row>
    <row r="127" spans="2:4" x14ac:dyDescent="0.35">
      <c r="B127" s="3">
        <v>124</v>
      </c>
      <c r="C127" s="48"/>
      <c r="D127" s="48"/>
    </row>
    <row r="128" spans="2:4" x14ac:dyDescent="0.35">
      <c r="B128" s="3">
        <v>125</v>
      </c>
      <c r="C128" s="48"/>
      <c r="D128" s="48"/>
    </row>
    <row r="129" spans="2:4" x14ac:dyDescent="0.35">
      <c r="B129" s="3">
        <v>126</v>
      </c>
      <c r="C129" s="48"/>
      <c r="D129" s="48"/>
    </row>
    <row r="130" spans="2:4" x14ac:dyDescent="0.35">
      <c r="B130" s="3">
        <v>127</v>
      </c>
      <c r="C130" s="48"/>
      <c r="D130" s="48"/>
    </row>
    <row r="131" spans="2:4" x14ac:dyDescent="0.35">
      <c r="B131" s="3">
        <v>128</v>
      </c>
      <c r="C131" s="48"/>
      <c r="D131" s="48"/>
    </row>
    <row r="132" spans="2:4" x14ac:dyDescent="0.35">
      <c r="B132" s="3">
        <v>129</v>
      </c>
      <c r="C132" s="48"/>
      <c r="D132" s="48"/>
    </row>
    <row r="133" spans="2:4" x14ac:dyDescent="0.35">
      <c r="B133" s="3">
        <v>130</v>
      </c>
      <c r="C133" s="48"/>
      <c r="D133" s="48"/>
    </row>
    <row r="134" spans="2:4" x14ac:dyDescent="0.35">
      <c r="B134" s="3">
        <v>131</v>
      </c>
      <c r="C134" s="48"/>
      <c r="D134" s="48"/>
    </row>
    <row r="135" spans="2:4" x14ac:dyDescent="0.35">
      <c r="B135" s="3">
        <v>132</v>
      </c>
      <c r="C135" s="48"/>
      <c r="D135" s="48"/>
    </row>
    <row r="136" spans="2:4" x14ac:dyDescent="0.35">
      <c r="B136" s="3">
        <v>133</v>
      </c>
      <c r="C136" s="48"/>
      <c r="D136" s="48"/>
    </row>
    <row r="137" spans="2:4" x14ac:dyDescent="0.35">
      <c r="B137" s="3">
        <v>134</v>
      </c>
      <c r="C137" s="48"/>
      <c r="D137" s="48"/>
    </row>
    <row r="138" spans="2:4" x14ac:dyDescent="0.35">
      <c r="B138" s="3">
        <v>135</v>
      </c>
      <c r="C138" s="48"/>
      <c r="D138" s="48"/>
    </row>
    <row r="139" spans="2:4" x14ac:dyDescent="0.35">
      <c r="B139" s="3">
        <v>136</v>
      </c>
      <c r="C139" s="48"/>
      <c r="D139" s="48"/>
    </row>
    <row r="140" spans="2:4" x14ac:dyDescent="0.35">
      <c r="B140" s="3">
        <v>137</v>
      </c>
      <c r="C140" s="48"/>
      <c r="D140" s="48"/>
    </row>
    <row r="141" spans="2:4" x14ac:dyDescent="0.35">
      <c r="B141" s="3">
        <v>138</v>
      </c>
      <c r="C141" s="48"/>
      <c r="D141" s="48"/>
    </row>
    <row r="142" spans="2:4" x14ac:dyDescent="0.35">
      <c r="B142" s="3">
        <v>139</v>
      </c>
      <c r="C142" s="48"/>
      <c r="D142" s="48"/>
    </row>
    <row r="143" spans="2:4" x14ac:dyDescent="0.35">
      <c r="B143" s="3">
        <v>140</v>
      </c>
      <c r="C143" s="48"/>
      <c r="D143" s="48"/>
    </row>
    <row r="144" spans="2:4" x14ac:dyDescent="0.35">
      <c r="B144" s="3">
        <v>141</v>
      </c>
      <c r="C144" s="48"/>
      <c r="D144" s="48"/>
    </row>
    <row r="145" spans="2:7" x14ac:dyDescent="0.35">
      <c r="B145" s="3">
        <v>142</v>
      </c>
      <c r="C145" s="48"/>
      <c r="D145" s="48"/>
    </row>
    <row r="146" spans="2:7" x14ac:dyDescent="0.35">
      <c r="B146" s="3">
        <v>143</v>
      </c>
      <c r="C146" s="48"/>
      <c r="D146" s="48"/>
    </row>
    <row r="147" spans="2:7" x14ac:dyDescent="0.35">
      <c r="B147" s="3">
        <v>144</v>
      </c>
      <c r="C147" s="48"/>
      <c r="D147" s="48"/>
    </row>
    <row r="148" spans="2:7" x14ac:dyDescent="0.35">
      <c r="B148" s="3">
        <v>145</v>
      </c>
      <c r="C148" s="48"/>
      <c r="D148" s="48"/>
    </row>
    <row r="149" spans="2:7" x14ac:dyDescent="0.35">
      <c r="B149" s="3">
        <v>146</v>
      </c>
      <c r="C149" s="48"/>
      <c r="D149" s="48"/>
    </row>
    <row r="150" spans="2:7" x14ac:dyDescent="0.35">
      <c r="B150" s="3">
        <v>147</v>
      </c>
      <c r="C150" s="48"/>
      <c r="D150" s="48"/>
    </row>
    <row r="151" spans="2:7" x14ac:dyDescent="0.35">
      <c r="B151" s="3">
        <v>148</v>
      </c>
      <c r="C151" s="48"/>
      <c r="D151" s="48"/>
    </row>
    <row r="152" spans="2:7" x14ac:dyDescent="0.35">
      <c r="B152" s="3">
        <v>149</v>
      </c>
      <c r="C152" s="48"/>
      <c r="D152" s="48"/>
    </row>
    <row r="153" spans="2:7" x14ac:dyDescent="0.35">
      <c r="B153" s="3">
        <v>150</v>
      </c>
      <c r="C153" s="48"/>
      <c r="D153" s="48"/>
    </row>
    <row r="154" spans="2:7" x14ac:dyDescent="0.35">
      <c r="B154" s="3">
        <v>151</v>
      </c>
      <c r="C154" s="48"/>
      <c r="D154" s="48"/>
    </row>
    <row r="155" spans="2:7" x14ac:dyDescent="0.35">
      <c r="B155" s="3">
        <v>152</v>
      </c>
      <c r="C155" s="48"/>
      <c r="D155" s="48"/>
      <c r="F155" s="4"/>
      <c r="G155" s="4"/>
    </row>
    <row r="156" spans="2:7" x14ac:dyDescent="0.35">
      <c r="B156" s="3">
        <v>153</v>
      </c>
      <c r="C156" s="48"/>
      <c r="D156" s="48"/>
    </row>
    <row r="157" spans="2:7" x14ac:dyDescent="0.35">
      <c r="B157" s="3">
        <v>154</v>
      </c>
      <c r="C157" s="48"/>
      <c r="D157" s="48"/>
    </row>
    <row r="158" spans="2:7" x14ac:dyDescent="0.35">
      <c r="B158" s="3">
        <v>155</v>
      </c>
      <c r="C158" s="48"/>
      <c r="D158" s="48"/>
    </row>
    <row r="159" spans="2:7" x14ac:dyDescent="0.35">
      <c r="B159" s="3">
        <v>156</v>
      </c>
      <c r="C159" s="48"/>
      <c r="D159" s="48"/>
    </row>
    <row r="160" spans="2:7" x14ac:dyDescent="0.35">
      <c r="B160" s="3">
        <v>157</v>
      </c>
      <c r="C160" s="48"/>
      <c r="D160" s="48"/>
    </row>
    <row r="161" spans="2:9" x14ac:dyDescent="0.35">
      <c r="B161" s="3">
        <v>158</v>
      </c>
      <c r="C161" s="48"/>
      <c r="D161" s="48"/>
    </row>
    <row r="162" spans="2:9" x14ac:dyDescent="0.35">
      <c r="B162" s="3">
        <v>159</v>
      </c>
      <c r="C162" s="48"/>
      <c r="D162" s="48"/>
    </row>
    <row r="163" spans="2:9" x14ac:dyDescent="0.35">
      <c r="B163" s="3">
        <v>160</v>
      </c>
      <c r="C163" s="48"/>
      <c r="D163" s="48"/>
      <c r="F163" s="34"/>
      <c r="G163" s="34"/>
      <c r="I163" s="34"/>
    </row>
    <row r="164" spans="2:9" x14ac:dyDescent="0.35">
      <c r="B164" s="3">
        <v>161</v>
      </c>
      <c r="C164" s="48"/>
      <c r="D164" s="48"/>
      <c r="F164" s="34"/>
      <c r="G164" s="34"/>
      <c r="I164" s="34"/>
    </row>
    <row r="165" spans="2:9" x14ac:dyDescent="0.35">
      <c r="B165" s="3">
        <v>162</v>
      </c>
      <c r="C165" s="48"/>
      <c r="D165" s="48"/>
    </row>
    <row r="166" spans="2:9" x14ac:dyDescent="0.35">
      <c r="B166" s="3">
        <v>163</v>
      </c>
      <c r="C166" s="48"/>
      <c r="D166" s="48"/>
    </row>
    <row r="167" spans="2:9" x14ac:dyDescent="0.35">
      <c r="B167" s="3">
        <v>164</v>
      </c>
      <c r="C167" s="48"/>
      <c r="D167" s="48"/>
    </row>
    <row r="168" spans="2:9" x14ac:dyDescent="0.35">
      <c r="B168" s="3">
        <v>165</v>
      </c>
      <c r="C168" s="48"/>
      <c r="D168" s="48"/>
    </row>
    <row r="169" spans="2:9" x14ac:dyDescent="0.35">
      <c r="B169" s="3">
        <v>166</v>
      </c>
      <c r="C169" s="48"/>
      <c r="D169" s="48"/>
    </row>
    <row r="170" spans="2:9" x14ac:dyDescent="0.35">
      <c r="B170" s="3">
        <v>167</v>
      </c>
      <c r="C170" s="48"/>
      <c r="D170" s="48"/>
    </row>
    <row r="171" spans="2:9" x14ac:dyDescent="0.35">
      <c r="B171" s="3">
        <v>168</v>
      </c>
      <c r="C171" s="48"/>
      <c r="D171" s="48"/>
    </row>
    <row r="172" spans="2:9" x14ac:dyDescent="0.35">
      <c r="B172" s="3">
        <v>169</v>
      </c>
      <c r="C172" s="48"/>
      <c r="D172" s="48"/>
      <c r="F172" s="6"/>
      <c r="G172" s="6"/>
    </row>
    <row r="173" spans="2:9" x14ac:dyDescent="0.35">
      <c r="B173" s="3">
        <v>170</v>
      </c>
      <c r="C173" s="48"/>
      <c r="D173" s="48"/>
      <c r="F173" s="6"/>
      <c r="G173" s="6"/>
    </row>
    <row r="174" spans="2:9" x14ac:dyDescent="0.35">
      <c r="B174" s="3">
        <v>171</v>
      </c>
      <c r="C174" s="48"/>
      <c r="D174" s="48"/>
      <c r="F174" s="6"/>
      <c r="G174" s="6"/>
    </row>
    <row r="175" spans="2:9" x14ac:dyDescent="0.35">
      <c r="B175" s="3">
        <v>172</v>
      </c>
      <c r="C175" s="48"/>
      <c r="D175" s="48"/>
      <c r="F175" s="6"/>
      <c r="G175" s="6"/>
    </row>
    <row r="176" spans="2:9" x14ac:dyDescent="0.35">
      <c r="B176" s="3">
        <v>173</v>
      </c>
      <c r="C176" s="48"/>
      <c r="D176" s="48"/>
      <c r="F176" s="6"/>
      <c r="G176" s="6"/>
    </row>
    <row r="177" spans="2:9" x14ac:dyDescent="0.35">
      <c r="B177" s="3">
        <v>174</v>
      </c>
      <c r="C177" s="48"/>
      <c r="D177" s="48"/>
      <c r="F177" s="6"/>
      <c r="G177" s="6"/>
    </row>
    <row r="178" spans="2:9" x14ac:dyDescent="0.35">
      <c r="B178" s="3">
        <v>175</v>
      </c>
      <c r="C178" s="48"/>
      <c r="D178" s="48"/>
      <c r="F178" s="6"/>
      <c r="G178" s="6"/>
    </row>
    <row r="179" spans="2:9" x14ac:dyDescent="0.35">
      <c r="B179" s="3">
        <v>176</v>
      </c>
      <c r="C179" s="48"/>
      <c r="D179" s="48"/>
      <c r="F179" s="6"/>
      <c r="G179" s="6"/>
    </row>
    <row r="180" spans="2:9" x14ac:dyDescent="0.35">
      <c r="B180" s="3">
        <v>177</v>
      </c>
      <c r="C180" s="48"/>
      <c r="D180" s="48"/>
      <c r="F180" s="6"/>
      <c r="G180" s="6"/>
    </row>
    <row r="181" spans="2:9" x14ac:dyDescent="0.35">
      <c r="B181" s="3">
        <v>178</v>
      </c>
      <c r="C181" s="48"/>
      <c r="D181" s="48"/>
      <c r="F181" s="6"/>
      <c r="G181" s="6"/>
    </row>
    <row r="182" spans="2:9" x14ac:dyDescent="0.35">
      <c r="B182" s="3">
        <v>179</v>
      </c>
      <c r="C182" s="48"/>
      <c r="D182" s="48"/>
      <c r="F182" s="6"/>
      <c r="G182" s="6"/>
    </row>
    <row r="183" spans="2:9" x14ac:dyDescent="0.35">
      <c r="B183" s="3">
        <v>180</v>
      </c>
      <c r="C183" s="48"/>
      <c r="D183" s="48"/>
      <c r="F183" s="6"/>
      <c r="G183" s="6"/>
    </row>
    <row r="184" spans="2:9" x14ac:dyDescent="0.35">
      <c r="B184" s="3">
        <v>181</v>
      </c>
      <c r="C184" s="48"/>
      <c r="D184" s="48"/>
      <c r="F184" s="6"/>
      <c r="G184" s="6"/>
    </row>
    <row r="185" spans="2:9" x14ac:dyDescent="0.35">
      <c r="B185" s="3">
        <v>182</v>
      </c>
      <c r="C185" s="48"/>
      <c r="D185" s="48"/>
      <c r="F185" s="6"/>
      <c r="G185" s="6"/>
    </row>
    <row r="186" spans="2:9" x14ac:dyDescent="0.35">
      <c r="B186" s="3">
        <v>183</v>
      </c>
      <c r="C186" s="48"/>
      <c r="D186" s="48"/>
      <c r="F186" s="6"/>
      <c r="G186" s="6"/>
    </row>
    <row r="187" spans="2:9" x14ac:dyDescent="0.35">
      <c r="B187" s="3">
        <v>184</v>
      </c>
      <c r="C187" s="48"/>
      <c r="D187" s="48"/>
      <c r="F187" s="6"/>
      <c r="G187" s="6"/>
    </row>
    <row r="188" spans="2:9" x14ac:dyDescent="0.35">
      <c r="B188" s="3">
        <v>185</v>
      </c>
      <c r="C188" s="48"/>
      <c r="D188" s="48"/>
      <c r="F188" s="6"/>
      <c r="G188" s="6"/>
    </row>
    <row r="189" spans="2:9" x14ac:dyDescent="0.35">
      <c r="B189" s="3">
        <v>186</v>
      </c>
      <c r="C189" s="48"/>
      <c r="D189" s="48"/>
      <c r="F189" s="6"/>
      <c r="G189" s="6"/>
    </row>
    <row r="190" spans="2:9" x14ac:dyDescent="0.35">
      <c r="B190" s="3">
        <v>187</v>
      </c>
      <c r="C190" s="48"/>
      <c r="D190" s="48"/>
      <c r="F190" s="7"/>
      <c r="G190" s="7"/>
    </row>
    <row r="191" spans="2:9" x14ac:dyDescent="0.35">
      <c r="B191" s="3">
        <v>188</v>
      </c>
      <c r="C191" s="48"/>
      <c r="D191" s="48"/>
      <c r="F191" s="7"/>
      <c r="G191" s="7"/>
    </row>
    <row r="192" spans="2:9" x14ac:dyDescent="0.35">
      <c r="B192" s="3">
        <v>189</v>
      </c>
      <c r="C192" s="48"/>
      <c r="D192" s="48"/>
      <c r="F192" s="7"/>
      <c r="G192" s="7"/>
      <c r="I192" s="7"/>
    </row>
    <row r="193" spans="2:9" x14ac:dyDescent="0.35">
      <c r="B193" s="3">
        <v>190</v>
      </c>
      <c r="C193" s="48"/>
      <c r="D193" s="48"/>
      <c r="F193" s="6"/>
      <c r="G193" s="6"/>
    </row>
    <row r="194" spans="2:9" x14ac:dyDescent="0.35">
      <c r="B194" s="3">
        <v>191</v>
      </c>
      <c r="C194" s="48"/>
      <c r="D194" s="48"/>
      <c r="F194" s="6"/>
      <c r="G194" s="6"/>
    </row>
    <row r="195" spans="2:9" x14ac:dyDescent="0.35">
      <c r="B195" s="3">
        <v>192</v>
      </c>
      <c r="C195" s="48"/>
      <c r="D195" s="48"/>
      <c r="F195" s="6"/>
      <c r="G195" s="6"/>
    </row>
    <row r="196" spans="2:9" x14ac:dyDescent="0.35">
      <c r="B196" s="3">
        <v>193</v>
      </c>
      <c r="C196" s="48"/>
      <c r="D196" s="48"/>
      <c r="F196" s="6"/>
      <c r="G196" s="6"/>
    </row>
    <row r="197" spans="2:9" x14ac:dyDescent="0.35">
      <c r="B197" s="3">
        <v>194</v>
      </c>
      <c r="C197" s="48"/>
      <c r="D197" s="48"/>
      <c r="F197" s="6"/>
      <c r="G197" s="6"/>
    </row>
    <row r="198" spans="2:9" x14ac:dyDescent="0.35">
      <c r="B198" s="3">
        <v>195</v>
      </c>
      <c r="C198" s="48"/>
      <c r="D198" s="48"/>
      <c r="F198" s="6"/>
      <c r="G198" s="6"/>
    </row>
    <row r="199" spans="2:9" x14ac:dyDescent="0.35">
      <c r="B199" s="3">
        <v>196</v>
      </c>
      <c r="C199" s="48"/>
      <c r="D199" s="48"/>
    </row>
    <row r="200" spans="2:9" x14ac:dyDescent="0.35">
      <c r="B200" s="3">
        <v>197</v>
      </c>
      <c r="C200" s="48"/>
      <c r="D200" s="48"/>
    </row>
    <row r="201" spans="2:9" x14ac:dyDescent="0.35">
      <c r="B201" s="3">
        <v>198</v>
      </c>
      <c r="C201" s="48"/>
      <c r="D201" s="48"/>
      <c r="F201" s="4"/>
      <c r="G201" s="4"/>
      <c r="I201" s="7"/>
    </row>
    <row r="202" spans="2:9" x14ac:dyDescent="0.35">
      <c r="B202" s="3">
        <v>199</v>
      </c>
      <c r="C202" s="48"/>
      <c r="D202" s="48"/>
      <c r="F202" s="4"/>
      <c r="G202" s="4"/>
      <c r="I202" s="7"/>
    </row>
    <row r="203" spans="2:9" x14ac:dyDescent="0.35">
      <c r="B203" s="3">
        <v>200</v>
      </c>
      <c r="C203" s="48"/>
      <c r="D203" s="48"/>
      <c r="F203" s="4"/>
      <c r="G203" s="4"/>
      <c r="I203" s="7"/>
    </row>
    <row r="204" spans="2:9" x14ac:dyDescent="0.35">
      <c r="B204" s="3">
        <v>201</v>
      </c>
      <c r="C204" s="48"/>
      <c r="D204" s="48"/>
    </row>
    <row r="205" spans="2:9" x14ac:dyDescent="0.35">
      <c r="B205" s="3">
        <v>202</v>
      </c>
      <c r="C205" s="48"/>
      <c r="D205" s="48"/>
    </row>
    <row r="206" spans="2:9" x14ac:dyDescent="0.35">
      <c r="B206" s="3">
        <v>203</v>
      </c>
      <c r="C206" s="48"/>
      <c r="D206" s="48"/>
    </row>
    <row r="207" spans="2:9" x14ac:dyDescent="0.35">
      <c r="B207" s="3">
        <v>204</v>
      </c>
      <c r="C207" s="48"/>
      <c r="D207" s="48"/>
    </row>
    <row r="208" spans="2:9" x14ac:dyDescent="0.35">
      <c r="B208" s="3">
        <v>205</v>
      </c>
      <c r="C208" s="48"/>
      <c r="D208" s="48"/>
    </row>
    <row r="209" spans="2:4" x14ac:dyDescent="0.35">
      <c r="B209" s="3">
        <v>206</v>
      </c>
      <c r="C209" s="48"/>
      <c r="D209" s="48"/>
    </row>
    <row r="210" spans="2:4" x14ac:dyDescent="0.35">
      <c r="B210" s="3">
        <v>207</v>
      </c>
      <c r="C210" s="48"/>
      <c r="D210" s="48"/>
    </row>
    <row r="211" spans="2:4" x14ac:dyDescent="0.35">
      <c r="B211" s="3">
        <v>208</v>
      </c>
      <c r="C211" s="48"/>
      <c r="D211" s="48"/>
    </row>
    <row r="212" spans="2:4" x14ac:dyDescent="0.35">
      <c r="B212" s="3">
        <v>209</v>
      </c>
      <c r="C212" s="48"/>
      <c r="D212" s="48"/>
    </row>
    <row r="213" spans="2:4" x14ac:dyDescent="0.35">
      <c r="B213" s="3">
        <v>210</v>
      </c>
      <c r="C213" s="48"/>
      <c r="D213" s="48"/>
    </row>
    <row r="214" spans="2:4" x14ac:dyDescent="0.35">
      <c r="B214" s="3">
        <v>211</v>
      </c>
      <c r="C214" s="48"/>
      <c r="D214" s="48"/>
    </row>
    <row r="215" spans="2:4" x14ac:dyDescent="0.35">
      <c r="B215" s="3">
        <v>212</v>
      </c>
      <c r="C215" s="48"/>
      <c r="D215" s="48"/>
    </row>
    <row r="216" spans="2:4" x14ac:dyDescent="0.35">
      <c r="B216" s="3">
        <v>213</v>
      </c>
      <c r="C216" s="48"/>
      <c r="D216" s="48"/>
    </row>
    <row r="217" spans="2:4" x14ac:dyDescent="0.35">
      <c r="B217" s="3">
        <v>214</v>
      </c>
      <c r="C217" s="48"/>
      <c r="D217" s="48"/>
    </row>
    <row r="218" spans="2:4" x14ac:dyDescent="0.35">
      <c r="B218" s="3">
        <v>215</v>
      </c>
      <c r="C218" s="48"/>
      <c r="D218" s="48"/>
    </row>
    <row r="219" spans="2:4" x14ac:dyDescent="0.35">
      <c r="B219" s="3">
        <v>216</v>
      </c>
      <c r="C219" s="48"/>
      <c r="D219" s="48"/>
    </row>
    <row r="220" spans="2:4" x14ac:dyDescent="0.35">
      <c r="B220" s="3">
        <v>217</v>
      </c>
      <c r="C220" s="48"/>
      <c r="D220" s="48"/>
    </row>
    <row r="221" spans="2:4" x14ac:dyDescent="0.35">
      <c r="B221" s="3">
        <v>218</v>
      </c>
      <c r="C221" s="48"/>
      <c r="D221" s="48"/>
    </row>
    <row r="222" spans="2:4" x14ac:dyDescent="0.35">
      <c r="B222" s="3">
        <v>219</v>
      </c>
      <c r="C222" s="48"/>
      <c r="D222" s="48"/>
    </row>
    <row r="223" spans="2:4" x14ac:dyDescent="0.35">
      <c r="C223" s="48"/>
      <c r="D223" s="48"/>
    </row>
    <row r="224" spans="2:4" x14ac:dyDescent="0.35">
      <c r="C224" s="48"/>
      <c r="D224" s="48"/>
    </row>
    <row r="225" spans="3:4" x14ac:dyDescent="0.35">
      <c r="C225" s="48"/>
      <c r="D225" s="48"/>
    </row>
    <row r="226" spans="3:4" x14ac:dyDescent="0.35">
      <c r="C226" s="48"/>
      <c r="D226" s="48"/>
    </row>
    <row r="227" spans="3:4" x14ac:dyDescent="0.35">
      <c r="C227" s="48"/>
      <c r="D227" s="48"/>
    </row>
    <row r="228" spans="3:4" x14ac:dyDescent="0.35">
      <c r="C228" s="48"/>
      <c r="D228" s="48"/>
    </row>
    <row r="229" spans="3:4" x14ac:dyDescent="0.35">
      <c r="C229" s="48"/>
      <c r="D229" s="48"/>
    </row>
    <row r="230" spans="3:4" x14ac:dyDescent="0.35">
      <c r="C230" s="48"/>
      <c r="D230" s="48"/>
    </row>
    <row r="231" spans="3:4" x14ac:dyDescent="0.35">
      <c r="C231" s="48"/>
      <c r="D231" s="48"/>
    </row>
    <row r="232" spans="3:4" x14ac:dyDescent="0.35">
      <c r="C232" s="48"/>
      <c r="D232" s="48"/>
    </row>
    <row r="233" spans="3:4" x14ac:dyDescent="0.35">
      <c r="C233" s="48"/>
      <c r="D233" s="48"/>
    </row>
    <row r="234" spans="3:4" x14ac:dyDescent="0.35">
      <c r="C234" s="48"/>
      <c r="D234" s="48"/>
    </row>
    <row r="235" spans="3:4" x14ac:dyDescent="0.35">
      <c r="C235" s="48"/>
      <c r="D235" s="48"/>
    </row>
    <row r="236" spans="3:4" x14ac:dyDescent="0.35">
      <c r="C236" s="48"/>
      <c r="D236" s="48"/>
    </row>
    <row r="237" spans="3:4" x14ac:dyDescent="0.35">
      <c r="C237" s="48"/>
      <c r="D237" s="48"/>
    </row>
    <row r="238" spans="3:4" x14ac:dyDescent="0.35">
      <c r="C238" s="48"/>
      <c r="D238" s="48"/>
    </row>
    <row r="239" spans="3:4" x14ac:dyDescent="0.35">
      <c r="C239" s="48"/>
      <c r="D239" s="48"/>
    </row>
    <row r="240" spans="3:4" x14ac:dyDescent="0.35">
      <c r="C240" s="48"/>
      <c r="D240" s="48"/>
    </row>
    <row r="241" spans="3:4" x14ac:dyDescent="0.35">
      <c r="C241" s="48"/>
      <c r="D241" s="48"/>
    </row>
    <row r="242" spans="3:4" x14ac:dyDescent="0.35">
      <c r="C242" s="48"/>
      <c r="D242" s="48"/>
    </row>
    <row r="243" spans="3:4" x14ac:dyDescent="0.35">
      <c r="C243" s="48"/>
      <c r="D243" s="48"/>
    </row>
    <row r="244" spans="3:4" x14ac:dyDescent="0.35">
      <c r="C244" s="48"/>
      <c r="D244" s="48"/>
    </row>
    <row r="245" spans="3:4" x14ac:dyDescent="0.35">
      <c r="C245" s="48"/>
      <c r="D245" s="48"/>
    </row>
  </sheetData>
  <sheetProtection autoFilter="0"/>
  <autoFilter ref="B3:O222" xr:uid="{00000000-0001-0000-0300-000000000000}"/>
  <conditionalFormatting sqref="I120:I124">
    <cfRule type="duplicateValues" dxfId="29" priority="55"/>
  </conditionalFormatting>
  <conditionalFormatting sqref="I120:I124">
    <cfRule type="duplicateValues" dxfId="28" priority="53"/>
    <cfRule type="duplicateValues" dxfId="27" priority="54"/>
  </conditionalFormatting>
  <conditionalFormatting sqref="I120:I124">
    <cfRule type="duplicateValues" dxfId="26" priority="52"/>
  </conditionalFormatting>
  <conditionalFormatting sqref="I120:I124">
    <cfRule type="duplicateValues" dxfId="25" priority="50"/>
    <cfRule type="duplicateValues" dxfId="24" priority="51"/>
  </conditionalFormatting>
  <conditionalFormatting sqref="I120:I124">
    <cfRule type="duplicateValues" dxfId="23" priority="49"/>
  </conditionalFormatting>
  <conditionalFormatting sqref="I120:I124">
    <cfRule type="duplicateValues" dxfId="22" priority="56"/>
  </conditionalFormatting>
  <conditionalFormatting sqref="I120:I124">
    <cfRule type="duplicateValues" dxfId="21" priority="57"/>
    <cfRule type="duplicateValues" dxfId="20" priority="58"/>
  </conditionalFormatting>
  <conditionalFormatting sqref="F90:G91">
    <cfRule type="duplicateValues" dxfId="19" priority="5856"/>
    <cfRule type="duplicateValues" dxfId="18" priority="5857"/>
    <cfRule type="duplicateValues" dxfId="17" priority="5858"/>
  </conditionalFormatting>
  <conditionalFormatting sqref="F89:G90">
    <cfRule type="duplicateValues" dxfId="16" priority="5859"/>
    <cfRule type="duplicateValues" dxfId="15" priority="5860"/>
    <cfRule type="duplicateValues" dxfId="14" priority="5861"/>
    <cfRule type="duplicateValues" dxfId="13" priority="5862"/>
    <cfRule type="duplicateValues" dxfId="12" priority="5863"/>
    <cfRule type="duplicateValues" dxfId="11" priority="5864"/>
  </conditionalFormatting>
  <conditionalFormatting sqref="F197:G199 F96:G100 F105:G113">
    <cfRule type="duplicateValues" dxfId="10" priority="5865"/>
  </conditionalFormatting>
  <conditionalFormatting sqref="F120:G122">
    <cfRule type="duplicateValues" dxfId="9" priority="5871"/>
  </conditionalFormatting>
  <conditionalFormatting sqref="F120:G122">
    <cfRule type="duplicateValues" dxfId="8" priority="5872"/>
    <cfRule type="duplicateValues" dxfId="7" priority="5873"/>
  </conditionalFormatting>
  <conditionalFormatting sqref="C3:M3">
    <cfRule type="duplicateValues" dxfId="6" priority="5886"/>
  </conditionalFormatting>
  <conditionalFormatting sqref="D10:E10">
    <cfRule type="duplicateValues" dxfId="5" priority="1"/>
    <cfRule type="duplicateValues" dxfId="4" priority="2"/>
    <cfRule type="duplicateValues" dxfId="3" priority="3"/>
  </conditionalFormatting>
  <conditionalFormatting sqref="D88:G88 F89:G89 D89:E316">
    <cfRule type="duplicateValues" dxfId="2" priority="5909"/>
    <cfRule type="duplicateValues" dxfId="1" priority="5910"/>
    <cfRule type="duplicateValues" dxfId="0" priority="591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0E211AB7A56004CACC5CA9BCB5C2657" ma:contentTypeVersion="4" ma:contentTypeDescription="Crear nuevo documento." ma:contentTypeScope="" ma:versionID="ba20212178d0cf021f155799ef70807c">
  <xsd:schema xmlns:xsd="http://www.w3.org/2001/XMLSchema" xmlns:xs="http://www.w3.org/2001/XMLSchema" xmlns:p="http://schemas.microsoft.com/office/2006/metadata/properties" xmlns:ns2="521d4130-4d91-41a3-ac72-a13e3125c11b" targetNamespace="http://schemas.microsoft.com/office/2006/metadata/properties" ma:root="true" ma:fieldsID="eabdb52fb00b0618e44e2c5420151601" ns2:_="">
    <xsd:import namespace="521d4130-4d91-41a3-ac72-a13e3125c11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1d4130-4d91-41a3-ac72-a13e3125c1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98821C-3771-428B-9638-93DDB5153FBA}">
  <ds:schemaRefs>
    <ds:schemaRef ds:uri="http://purl.org/dc/elements/1.1/"/>
    <ds:schemaRef ds:uri="http://schemas.microsoft.com/office/2006/metadata/properties"/>
    <ds:schemaRef ds:uri="08e33c3c-be1a-4ec9-b777-208a0b874be1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F4E3FFA-842D-4737-879C-860D8B9A6D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067F3E-FD7C-4180-8B23-89FDDA5962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1d4130-4d91-41a3-ac72-a13e3125c11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</vt:lpstr>
      <vt:lpstr>PayRegister</vt:lpstr>
      <vt:lpstr>GroosToNet</vt:lpstr>
      <vt:lpstr>YTDRegister</vt:lpstr>
      <vt:lpstr>Accumulated</vt:lpstr>
      <vt:lpstr>Warnings</vt:lpstr>
      <vt:lpstr>Catalogs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Alarcon Aquino</dc:creator>
  <cp:lastModifiedBy>Juan Leguizamon</cp:lastModifiedBy>
  <dcterms:created xsi:type="dcterms:W3CDTF">2020-04-02T18:24:22Z</dcterms:created>
  <dcterms:modified xsi:type="dcterms:W3CDTF">2025-04-03T13:35:23Z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0x010100D0E211AB7A56004CACC5CA9BCB5C2657</vt:lpwstr>
  </property>
  <property fmtid="{D5CDD505-2E9C-101B-9397-08002B2CF9AE}" pid="3" name="MediaServiceImageTags">
    <vt:lpwstr/>
  </property>
  <property fmtid="{D5CDD505-2E9C-101B-9397-08002B2CF9AE}" pid="4" name="Order">
    <vt:r8>3500</vt:r8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</Properties>
</file>